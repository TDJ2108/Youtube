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lpekpolyester.sharepoint.com/teams/TimeProjetoSuapek2.1nomeemconstruo/Documentos compartidos/Programa Suapek X/PSR - Reports/"/>
    </mc:Choice>
  </mc:AlternateContent>
  <xr:revisionPtr revIDLastSave="9694" documentId="13_ncr:1_{6B6D823F-EF9B-4717-9093-39C2CC273E86}" xr6:coauthVersionLast="47" xr6:coauthVersionMax="47" xr10:uidLastSave="{6E0C2205-9621-442B-B93E-3B7EEB5398B8}"/>
  <bookViews>
    <workbookView xWindow="-110" yWindow="-110" windowWidth="19420" windowHeight="10300" tabRatio="843" firstSheet="2" activeTab="6" xr2:uid="{03F2FF9B-AB8E-4A4C-BFD2-B5F8284A0515}"/>
  </bookViews>
  <sheets>
    <sheet name="Detalhe distribuição" sheetId="1" r:id="rId1"/>
    <sheet name="ID_Project" sheetId="9" r:id="rId2"/>
    <sheet name="Aderência ao Projeto" sheetId="2" r:id="rId3"/>
    <sheet name="Cronograma" sheetId="4" r:id="rId4"/>
    <sheet name="Curvas PSRs" sheetId="10" r:id="rId5"/>
    <sheet name="Finanças" sheetId="3" r:id="rId6"/>
    <sheet name="Marcos" sheetId="5" r:id="rId7"/>
    <sheet name="Ativ Desta semana" sheetId="6" r:id="rId8"/>
    <sheet name="Ativ. prox semana" sheetId="7" r:id="rId9"/>
    <sheet name="Prob. e Riscos Id" sheetId="8" r:id="rId10"/>
    <sheet name="REIQ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5" l="1"/>
  <c r="H25" i="5"/>
  <c r="H23" i="5"/>
  <c r="H24" i="5"/>
  <c r="H9" i="5"/>
  <c r="D28" i="3"/>
  <c r="F21" i="5"/>
  <c r="X24" i="10"/>
  <c r="X17" i="10"/>
  <c r="X10" i="10"/>
  <c r="X3" i="10"/>
  <c r="O26" i="10"/>
  <c r="O19" i="10"/>
  <c r="O12" i="10"/>
  <c r="O5" i="10"/>
  <c r="D15" i="3"/>
  <c r="N26" i="10" l="1"/>
  <c r="N19" i="10"/>
  <c r="N12" i="10"/>
  <c r="N5" i="10"/>
  <c r="C37" i="6"/>
  <c r="L6" i="5" l="1"/>
  <c r="F41" i="5" l="1"/>
  <c r="F35" i="5"/>
  <c r="F33" i="5"/>
  <c r="D26" i="3"/>
  <c r="M26" i="10" l="1"/>
  <c r="M19" i="10"/>
  <c r="M12" i="10"/>
  <c r="M5" i="10"/>
  <c r="D25" i="3"/>
  <c r="H10" i="5"/>
  <c r="F22" i="5"/>
  <c r="H13" i="5"/>
  <c r="L13" i="5"/>
  <c r="D11" i="4" l="1"/>
  <c r="L33" i="10"/>
  <c r="L26" i="10"/>
  <c r="L19" i="10"/>
  <c r="L12" i="10"/>
  <c r="L5" i="10"/>
  <c r="D31" i="3"/>
  <c r="D6" i="3" l="1"/>
  <c r="F30" i="5" l="1"/>
  <c r="A49" i="5"/>
  <c r="H20" i="5"/>
  <c r="F19" i="5"/>
  <c r="H19" i="5"/>
  <c r="H7" i="5"/>
  <c r="L7" i="5"/>
  <c r="F26" i="5"/>
  <c r="K33" i="10" l="1"/>
  <c r="K26" i="10"/>
  <c r="K19" i="10"/>
  <c r="K12" i="10"/>
  <c r="K5" i="10" l="1"/>
  <c r="H32" i="5"/>
  <c r="J26" i="10" l="1"/>
  <c r="L12" i="5"/>
  <c r="L8" i="5"/>
  <c r="J33" i="10" l="1"/>
  <c r="J19" i="10"/>
  <c r="J12" i="10"/>
  <c r="J5" i="10"/>
  <c r="D33" i="3" l="1"/>
  <c r="D21" i="3"/>
  <c r="L5" i="5" l="1"/>
  <c r="A37" i="3" l="1"/>
  <c r="A38" i="3"/>
  <c r="D38" i="3"/>
  <c r="A39" i="3"/>
  <c r="D39" i="3"/>
  <c r="A40" i="3"/>
  <c r="A41" i="3"/>
  <c r="A42" i="3"/>
  <c r="D42" i="3"/>
  <c r="A43" i="3"/>
  <c r="D43" i="3"/>
  <c r="A44" i="3"/>
  <c r="A45" i="3"/>
  <c r="D45" i="3"/>
  <c r="A46" i="3"/>
  <c r="D46" i="3"/>
  <c r="A47" i="3"/>
  <c r="A48" i="3"/>
  <c r="A49" i="3"/>
  <c r="A50" i="3"/>
  <c r="A51" i="3"/>
  <c r="D51" i="3"/>
  <c r="A52" i="3"/>
  <c r="D52" i="3"/>
  <c r="A53" i="3"/>
  <c r="D53" i="3"/>
  <c r="A54" i="3"/>
  <c r="D54" i="3"/>
  <c r="A55" i="3"/>
  <c r="A56" i="3"/>
  <c r="D56" i="3"/>
  <c r="A57" i="3"/>
  <c r="D57" i="3"/>
  <c r="A58" i="3"/>
  <c r="D58" i="3"/>
  <c r="A59" i="3"/>
  <c r="D59" i="3"/>
  <c r="A60" i="3"/>
  <c r="D60" i="3"/>
  <c r="A61" i="3"/>
  <c r="D61" i="3"/>
  <c r="A62" i="3"/>
  <c r="D62" i="3"/>
  <c r="A63" i="3"/>
  <c r="D63" i="3"/>
  <c r="A64" i="3"/>
  <c r="D64" i="3"/>
  <c r="A65" i="3"/>
  <c r="D65" i="3"/>
  <c r="A66" i="3"/>
  <c r="D66" i="3"/>
  <c r="A67" i="3"/>
  <c r="D67" i="3"/>
  <c r="A68" i="3"/>
  <c r="D68" i="3"/>
  <c r="D15" i="4"/>
  <c r="C61" i="3"/>
  <c r="B43" i="3"/>
  <c r="B44" i="3"/>
  <c r="B40" i="3"/>
  <c r="C39" i="3"/>
  <c r="B50" i="3"/>
  <c r="B54" i="3"/>
  <c r="C47" i="3"/>
  <c r="C38" i="3"/>
  <c r="C62" i="3"/>
  <c r="C64" i="3"/>
  <c r="B41" i="3"/>
  <c r="B63" i="3"/>
  <c r="B47" i="3"/>
  <c r="B65" i="3"/>
  <c r="B39" i="3"/>
  <c r="C45" i="3"/>
  <c r="B48" i="3"/>
  <c r="C41" i="3"/>
  <c r="C59" i="3"/>
  <c r="C58" i="3"/>
  <c r="B58" i="3"/>
  <c r="C67" i="3"/>
  <c r="B59" i="3"/>
  <c r="B51" i="3"/>
  <c r="B67" i="3"/>
  <c r="C63" i="3"/>
  <c r="B57" i="3"/>
  <c r="C68" i="3"/>
  <c r="C44" i="3"/>
  <c r="B61" i="3"/>
  <c r="B66" i="3"/>
  <c r="C57" i="3"/>
  <c r="B37" i="3"/>
  <c r="B38" i="3"/>
  <c r="B62" i="3"/>
  <c r="C66" i="3"/>
  <c r="C53" i="3"/>
  <c r="B49" i="3"/>
  <c r="C65" i="3"/>
  <c r="C55" i="3"/>
  <c r="C52" i="3"/>
  <c r="B45" i="3"/>
  <c r="C46" i="3"/>
  <c r="C50" i="3"/>
  <c r="B52" i="3"/>
  <c r="C42" i="3"/>
  <c r="C40" i="3"/>
  <c r="B60" i="3"/>
  <c r="B55" i="3"/>
  <c r="C48" i="3"/>
  <c r="C37" i="3"/>
  <c r="B42" i="3"/>
  <c r="C49" i="3"/>
  <c r="B53" i="3"/>
  <c r="B46" i="3"/>
  <c r="C60" i="3"/>
  <c r="C54" i="3"/>
  <c r="B56" i="3"/>
  <c r="B68" i="3"/>
  <c r="C51" i="3"/>
  <c r="B64" i="3"/>
  <c r="C56" i="3"/>
  <c r="C43" i="3"/>
  <c r="D44" i="3" l="1"/>
  <c r="D41" i="3" l="1"/>
  <c r="H6" i="5"/>
  <c r="D40" i="3" l="1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1" i="5"/>
  <c r="H30" i="5"/>
  <c r="H29" i="5"/>
  <c r="H28" i="5"/>
  <c r="H27" i="5"/>
  <c r="H26" i="5"/>
  <c r="H22" i="5"/>
  <c r="H21" i="5"/>
  <c r="H18" i="5"/>
  <c r="H17" i="5"/>
  <c r="H16" i="5"/>
  <c r="H15" i="5"/>
  <c r="H14" i="5"/>
  <c r="H12" i="5"/>
  <c r="H11" i="5"/>
  <c r="H8" i="5"/>
  <c r="H5" i="5"/>
  <c r="L44" i="5" l="1"/>
  <c r="D55" i="3" l="1"/>
  <c r="D49" i="3"/>
  <c r="D37" i="3"/>
  <c r="I33" i="10" l="1"/>
  <c r="I26" i="10"/>
  <c r="I19" i="10"/>
  <c r="I12" i="10"/>
  <c r="D5" i="10"/>
  <c r="E5" i="10"/>
  <c r="F5" i="10"/>
  <c r="G5" i="10"/>
  <c r="H5" i="10"/>
  <c r="I5" i="10"/>
  <c r="H12" i="10"/>
  <c r="G12" i="10"/>
  <c r="A36" i="3" l="1"/>
  <c r="E19" i="4" l="1"/>
  <c r="D19" i="4"/>
  <c r="D17" i="4"/>
  <c r="M48" i="5"/>
  <c r="A29" i="2"/>
  <c r="D29" i="2"/>
  <c r="A30" i="2"/>
  <c r="D30" i="2"/>
  <c r="A31" i="2"/>
  <c r="D31" i="2"/>
  <c r="A32" i="2"/>
  <c r="D32" i="2"/>
  <c r="A33" i="2"/>
  <c r="D33" i="2"/>
  <c r="A34" i="2"/>
  <c r="D34" i="2"/>
  <c r="A35" i="2"/>
  <c r="D35" i="2"/>
  <c r="A36" i="2"/>
  <c r="D36" i="2"/>
  <c r="A37" i="2"/>
  <c r="D37" i="2"/>
  <c r="A38" i="2"/>
  <c r="D38" i="2"/>
  <c r="A39" i="2"/>
  <c r="D39" i="2"/>
  <c r="A40" i="2"/>
  <c r="D40" i="2"/>
  <c r="A41" i="2"/>
  <c r="D41" i="2"/>
  <c r="A42" i="2"/>
  <c r="D42" i="2"/>
  <c r="A43" i="2"/>
  <c r="D43" i="2"/>
  <c r="A44" i="2"/>
  <c r="D44" i="2"/>
  <c r="A45" i="2"/>
  <c r="D45" i="2"/>
  <c r="A46" i="2"/>
  <c r="D46" i="2"/>
  <c r="A47" i="2"/>
  <c r="D47" i="2"/>
  <c r="A48" i="2"/>
  <c r="D48" i="2"/>
  <c r="A49" i="2"/>
  <c r="D49" i="2"/>
  <c r="A50" i="2"/>
  <c r="D50" i="2"/>
  <c r="A51" i="2"/>
  <c r="D51" i="2"/>
  <c r="A52" i="2"/>
  <c r="D52" i="2"/>
  <c r="A28" i="2"/>
  <c r="A37" i="6"/>
  <c r="C30" i="2"/>
  <c r="C46" i="2"/>
  <c r="F36" i="2"/>
  <c r="F48" i="2"/>
  <c r="B39" i="2"/>
  <c r="B35" i="2"/>
  <c r="B46" i="2"/>
  <c r="B47" i="2"/>
  <c r="F49" i="2"/>
  <c r="C28" i="2"/>
  <c r="C35" i="2"/>
  <c r="B41" i="2"/>
  <c r="B33" i="2"/>
  <c r="F45" i="2"/>
  <c r="B32" i="2"/>
  <c r="C34" i="2"/>
  <c r="B34" i="2"/>
  <c r="F31" i="2"/>
  <c r="C51" i="2"/>
  <c r="C39" i="2"/>
  <c r="F38" i="2"/>
  <c r="C31" i="2"/>
  <c r="F29" i="2"/>
  <c r="C48" i="2"/>
  <c r="B31" i="2"/>
  <c r="F32" i="2"/>
  <c r="B52" i="2"/>
  <c r="C52" i="2"/>
  <c r="C49" i="2"/>
  <c r="B45" i="2"/>
  <c r="B29" i="2"/>
  <c r="B49" i="2"/>
  <c r="C36" i="2"/>
  <c r="C43" i="2"/>
  <c r="B30" i="2"/>
  <c r="B38" i="2"/>
  <c r="C45" i="2"/>
  <c r="F44" i="2"/>
  <c r="B48" i="2"/>
  <c r="C40" i="2"/>
  <c r="F37" i="2"/>
  <c r="F33" i="2"/>
  <c r="C37" i="2"/>
  <c r="C44" i="2"/>
  <c r="B44" i="2"/>
  <c r="B42" i="2"/>
  <c r="F42" i="2"/>
  <c r="F34" i="2"/>
  <c r="F51" i="2"/>
  <c r="C29" i="2"/>
  <c r="F39" i="2"/>
  <c r="F40" i="2"/>
  <c r="F30" i="2"/>
  <c r="C47" i="2"/>
  <c r="C33" i="2"/>
  <c r="C50" i="2"/>
  <c r="B40" i="2"/>
  <c r="C32" i="2"/>
  <c r="B43" i="2"/>
  <c r="F46" i="2"/>
  <c r="C38" i="2"/>
  <c r="B36" i="2"/>
  <c r="F47" i="2"/>
  <c r="B51" i="2"/>
  <c r="C41" i="2"/>
  <c r="B37" i="2"/>
  <c r="F43" i="2"/>
  <c r="F50" i="2"/>
  <c r="F41" i="2"/>
  <c r="C42" i="2"/>
  <c r="F52" i="2"/>
  <c r="B50" i="2"/>
  <c r="F35" i="2"/>
  <c r="A25" i="4" l="1"/>
  <c r="D25" i="4"/>
  <c r="E25" i="4"/>
  <c r="A26" i="4"/>
  <c r="D26" i="4"/>
  <c r="E26" i="4"/>
  <c r="A27" i="4"/>
  <c r="D27" i="4"/>
  <c r="E27" i="4"/>
  <c r="A28" i="4"/>
  <c r="D28" i="4"/>
  <c r="E28" i="4"/>
  <c r="A29" i="4"/>
  <c r="D29" i="4"/>
  <c r="E29" i="4"/>
  <c r="A30" i="4"/>
  <c r="D30" i="4"/>
  <c r="E30" i="4"/>
  <c r="A31" i="4"/>
  <c r="D31" i="4"/>
  <c r="E31" i="4"/>
  <c r="A32" i="4"/>
  <c r="D32" i="4"/>
  <c r="E32" i="4"/>
  <c r="A33" i="4"/>
  <c r="A34" i="4"/>
  <c r="D34" i="4"/>
  <c r="E34" i="4"/>
  <c r="A35" i="4"/>
  <c r="D35" i="4"/>
  <c r="E35" i="4"/>
  <c r="A36" i="4"/>
  <c r="A37" i="4"/>
  <c r="A38" i="4"/>
  <c r="A39" i="4"/>
  <c r="A40" i="4"/>
  <c r="D40" i="4"/>
  <c r="E40" i="4"/>
  <c r="A41" i="4"/>
  <c r="D41" i="4"/>
  <c r="E41" i="4"/>
  <c r="A42" i="4"/>
  <c r="A43" i="4"/>
  <c r="K47" i="5"/>
  <c r="F47" i="5"/>
  <c r="B43" i="4"/>
  <c r="C29" i="4"/>
  <c r="C30" i="4"/>
  <c r="C39" i="4"/>
  <c r="B31" i="4"/>
  <c r="B29" i="4"/>
  <c r="B38" i="4"/>
  <c r="C42" i="4"/>
  <c r="C38" i="4"/>
  <c r="B40" i="4"/>
  <c r="B36" i="4"/>
  <c r="C35" i="4"/>
  <c r="B33" i="4"/>
  <c r="C41" i="4"/>
  <c r="C37" i="4"/>
  <c r="B34" i="4"/>
  <c r="C40" i="4"/>
  <c r="C43" i="4"/>
  <c r="B26" i="4"/>
  <c r="C34" i="4"/>
  <c r="B32" i="4"/>
  <c r="C33" i="4"/>
  <c r="C31" i="4"/>
  <c r="B42" i="4"/>
  <c r="C32" i="4"/>
  <c r="B25" i="4"/>
  <c r="C25" i="4"/>
  <c r="B39" i="4"/>
  <c r="C26" i="4"/>
  <c r="C36" i="4"/>
  <c r="B41" i="4"/>
  <c r="C28" i="4"/>
  <c r="B30" i="4"/>
  <c r="B28" i="4"/>
  <c r="C27" i="4"/>
  <c r="B35" i="4"/>
  <c r="B27" i="4"/>
  <c r="B37" i="4"/>
  <c r="B49" i="5"/>
  <c r="C49" i="5"/>
  <c r="G32" i="10" l="1"/>
  <c r="H32" i="10" s="1"/>
  <c r="I32" i="10" s="1"/>
  <c r="J32" i="10" s="1"/>
  <c r="K32" i="10" s="1"/>
  <c r="L32" i="10" s="1"/>
  <c r="M32" i="10" s="1"/>
  <c r="N32" i="10" s="1"/>
  <c r="O32" i="10" s="1"/>
  <c r="P32" i="10" s="1"/>
  <c r="Q32" i="10" s="1"/>
  <c r="R32" i="10" s="1"/>
  <c r="S32" i="10" s="1"/>
  <c r="T32" i="10" s="1"/>
  <c r="U32" i="10" s="1"/>
  <c r="V32" i="10" s="1"/>
  <c r="W32" i="10" s="1"/>
  <c r="E25" i="10"/>
  <c r="F25" i="10" s="1"/>
  <c r="G25" i="10" s="1"/>
  <c r="H25" i="10" s="1"/>
  <c r="I25" i="10" s="1"/>
  <c r="J25" i="10" s="1"/>
  <c r="K25" i="10" s="1"/>
  <c r="L25" i="10" s="1"/>
  <c r="M25" i="10" s="1"/>
  <c r="N25" i="10" s="1"/>
  <c r="O25" i="10" s="1"/>
  <c r="P25" i="10" s="1"/>
  <c r="Q25" i="10" s="1"/>
  <c r="R25" i="10" s="1"/>
  <c r="S25" i="10" s="1"/>
  <c r="T25" i="10" s="1"/>
  <c r="U25" i="10" s="1"/>
  <c r="C11" i="10"/>
  <c r="D11" i="10" s="1"/>
  <c r="E11" i="10" s="1"/>
  <c r="F11" i="10" s="1"/>
  <c r="G11" i="10" s="1"/>
  <c r="H11" i="10" s="1"/>
  <c r="I11" i="10" s="1"/>
  <c r="J11" i="10" s="1"/>
  <c r="K11" i="10" s="1"/>
  <c r="L11" i="10" s="1"/>
  <c r="M11" i="10" s="1"/>
  <c r="N11" i="10" s="1"/>
  <c r="O11" i="10" s="1"/>
  <c r="P11" i="10" s="1"/>
  <c r="Q11" i="10" s="1"/>
  <c r="R11" i="10" s="1"/>
  <c r="S11" i="10" s="1"/>
  <c r="T11" i="10" s="1"/>
  <c r="U11" i="10" s="1"/>
  <c r="V11" i="10" s="1"/>
  <c r="C4" i="10"/>
  <c r="D4" i="10" s="1"/>
  <c r="E4" i="10" s="1"/>
  <c r="F4" i="10" s="1"/>
  <c r="G4" i="10" s="1"/>
  <c r="H4" i="10" s="1"/>
  <c r="I4" i="10" s="1"/>
  <c r="J4" i="10" s="1"/>
  <c r="K4" i="10" s="1"/>
  <c r="L4" i="10" s="1"/>
  <c r="M4" i="10" s="1"/>
  <c r="N4" i="10" s="1"/>
  <c r="O4" i="10" s="1"/>
  <c r="P4" i="10" s="1"/>
  <c r="Q4" i="10" s="1"/>
  <c r="R4" i="10" s="1"/>
  <c r="S4" i="10" s="1"/>
  <c r="T4" i="10" s="1"/>
  <c r="U4" i="10" s="1"/>
  <c r="V4" i="10" s="1"/>
  <c r="W4" i="10" s="1"/>
  <c r="D50" i="3" l="1"/>
  <c r="D48" i="3" l="1"/>
  <c r="D47" i="3"/>
  <c r="H33" i="10"/>
  <c r="E14" i="4"/>
  <c r="E36" i="4" s="1"/>
  <c r="D14" i="4"/>
  <c r="D36" i="4" s="1"/>
  <c r="G26" i="10" l="1"/>
  <c r="H26" i="10"/>
  <c r="F26" i="10"/>
  <c r="H19" i="10"/>
  <c r="C18" i="10"/>
  <c r="D18" i="10" s="1"/>
  <c r="E18" i="10" s="1"/>
  <c r="F18" i="10" s="1"/>
  <c r="G18" i="10" s="1"/>
  <c r="H18" i="10" s="1"/>
  <c r="I18" i="10" s="1"/>
  <c r="J18" i="10" s="1"/>
  <c r="K18" i="10" s="1"/>
  <c r="L18" i="10" s="1"/>
  <c r="M18" i="10" s="1"/>
  <c r="N18" i="10" s="1"/>
  <c r="O18" i="10" s="1"/>
  <c r="P18" i="10" s="1"/>
  <c r="Q18" i="10" s="1"/>
  <c r="R18" i="10" s="1"/>
  <c r="S18" i="10" s="1"/>
  <c r="T18" i="10" s="1"/>
  <c r="U18" i="10" s="1"/>
  <c r="V18" i="10" s="1"/>
  <c r="W18" i="10" s="1"/>
  <c r="G19" i="10"/>
  <c r="L17" i="5" l="1"/>
  <c r="L16" i="5"/>
  <c r="L4" i="5"/>
  <c r="D33" i="4"/>
  <c r="E43" i="4"/>
  <c r="D43" i="4"/>
  <c r="E21" i="4"/>
  <c r="E42" i="4" s="1"/>
  <c r="D21" i="4"/>
  <c r="D42" i="4" s="1"/>
  <c r="AT2" i="10" a="1"/>
  <c r="AT2" i="10" s="1"/>
  <c r="E11" i="4"/>
  <c r="E33" i="4" s="1"/>
  <c r="AZ2" i="10" l="1" a="1"/>
  <c r="AZ2" i="10" s="1"/>
  <c r="D39" i="4" l="1"/>
  <c r="E17" i="4" l="1"/>
  <c r="E39" i="4" s="1"/>
  <c r="E15" i="4"/>
  <c r="E37" i="4" s="1"/>
  <c r="D37" i="4"/>
  <c r="E16" i="4"/>
  <c r="E38" i="4" s="1"/>
  <c r="D16" i="4"/>
  <c r="D38" i="4" s="1"/>
  <c r="J49" i="5"/>
  <c r="D28" i="2"/>
  <c r="G49" i="5"/>
  <c r="E24" i="4"/>
  <c r="D24" i="4"/>
  <c r="A24" i="4"/>
  <c r="H48" i="5"/>
  <c r="L48" i="5"/>
  <c r="K49" i="5"/>
  <c r="F49" i="5"/>
  <c r="D36" i="3"/>
  <c r="D8" i="8"/>
  <c r="A8" i="8"/>
  <c r="L2" i="5"/>
  <c r="L49" i="5" s="1"/>
  <c r="L38" i="5"/>
  <c r="L29" i="5"/>
  <c r="L37" i="5"/>
  <c r="L28" i="5"/>
  <c r="L3" i="5"/>
  <c r="B36" i="3"/>
  <c r="C36" i="3"/>
  <c r="F28" i="2"/>
  <c r="B28" i="2"/>
  <c r="C24" i="4"/>
  <c r="B24" i="4"/>
  <c r="B8" i="8"/>
  <c r="C8" i="8"/>
  <c r="B37" i="6"/>
  <c r="D49" i="5"/>
  <c r="AH2" i="10" l="1" a="1"/>
  <c r="AH2" i="10" s="1"/>
  <c r="AB2" i="10" a="1"/>
  <c r="AB2" i="10" s="1"/>
  <c r="E49" i="5"/>
  <c r="H3" i="5" l="1"/>
  <c r="H4" i="5"/>
  <c r="H2" i="5"/>
  <c r="H49" i="5" s="1"/>
  <c r="AN2" i="10" l="1" a="1"/>
  <c r="AN2" i="10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<sst xmlns="http://schemas.openxmlformats.org/spreadsheetml/2006/main" count="1076" uniqueCount="226">
  <si>
    <t>Título relatório</t>
  </si>
  <si>
    <t>Detalhes do Projeto</t>
  </si>
  <si>
    <t>Título do Projeto</t>
  </si>
  <si>
    <t>Data do Relatório</t>
  </si>
  <si>
    <t>Semana</t>
  </si>
  <si>
    <t>Unidade de Negócios</t>
  </si>
  <si>
    <t>Project ID</t>
  </si>
  <si>
    <t>Preparado Por</t>
  </si>
  <si>
    <t>Distribuição</t>
  </si>
  <si>
    <t>Relatório Semanal do Projeto</t>
  </si>
  <si>
    <t>Programa SUAPEK X</t>
  </si>
  <si>
    <t>Other</t>
  </si>
  <si>
    <t>PRJ24003</t>
  </si>
  <si>
    <t>SILVIO RAMOS</t>
  </si>
  <si>
    <t>Dirk K. Stugg, Edgar Vazquez, Carlos Tavares, Rodrigo Pontual, Gabriel Melik, Thiago Carneiro, Everaldo Dantas, Gregorio Lopez, Roberto Carlos, Cuauhtemoc Flores, Jonathan Christian</t>
  </si>
  <si>
    <t>Nome Projeto</t>
  </si>
  <si>
    <t>PSX25001</t>
  </si>
  <si>
    <t>SUAP225002</t>
  </si>
  <si>
    <t>SUAPEK 2</t>
  </si>
  <si>
    <t>INTR25003</t>
  </si>
  <si>
    <t>Internos do Reator</t>
  </si>
  <si>
    <t>LM.CRU25004</t>
  </si>
  <si>
    <t>LM/CRU</t>
  </si>
  <si>
    <t>GASF25005</t>
  </si>
  <si>
    <t>Gasfoil e Lanterna</t>
  </si>
  <si>
    <t>Aderência ao Projeto</t>
  </si>
  <si>
    <t>Valor (%)</t>
  </si>
  <si>
    <t>Ordem</t>
  </si>
  <si>
    <t>Proporção</t>
  </si>
  <si>
    <t>Tradutor</t>
  </si>
  <si>
    <t>Segurança</t>
  </si>
  <si>
    <t>Quanto maior melhor</t>
  </si>
  <si>
    <t>PT-BR</t>
  </si>
  <si>
    <t>Custos</t>
  </si>
  <si>
    <t>Prazo</t>
  </si>
  <si>
    <t>Risco</t>
  </si>
  <si>
    <t>Escopo</t>
  </si>
  <si>
    <t>EN</t>
  </si>
  <si>
    <t>Cronograma</t>
  </si>
  <si>
    <t>Previsto (%)</t>
  </si>
  <si>
    <t>Realizado (%)</t>
  </si>
  <si>
    <t>AVANÇO GERAL</t>
  </si>
  <si>
    <t>AVANÇO LM/CRU</t>
  </si>
  <si>
    <t>AVANÇO SUAPEK 2</t>
  </si>
  <si>
    <t>AVANÇO INT. REATOR</t>
  </si>
  <si>
    <t>Suprimentos Int. Reator</t>
  </si>
  <si>
    <t>AVANÇO GERAL GASFOIL/LANTERNA</t>
  </si>
  <si>
    <t>AVANÇO GERAL E1-304</t>
  </si>
  <si>
    <t>Revisão do Projeto</t>
  </si>
  <si>
    <t>Suprimentos</t>
  </si>
  <si>
    <t>Projeto SUAPEK 2</t>
  </si>
  <si>
    <t>Projeto LM/CRU</t>
  </si>
  <si>
    <t>Projeto Internos do Reator</t>
  </si>
  <si>
    <t>Projeto Gasfoil e Lanterna</t>
  </si>
  <si>
    <t>Data</t>
  </si>
  <si>
    <t>TOTAL</t>
  </si>
  <si>
    <t>Previsto Mensal</t>
  </si>
  <si>
    <t>Previsto Acumulado</t>
  </si>
  <si>
    <t>Realizado Mensal</t>
  </si>
  <si>
    <t>Realizado Acumulado</t>
  </si>
  <si>
    <t>Marcos</t>
  </si>
  <si>
    <t>Comentário</t>
  </si>
  <si>
    <t>Coluna1</t>
  </si>
  <si>
    <t>Data Planejada</t>
  </si>
  <si>
    <t>Data Real</t>
  </si>
  <si>
    <t>Regra_Destac</t>
  </si>
  <si>
    <t>Steering Comitee</t>
  </si>
  <si>
    <t>Plan_Inicial</t>
  </si>
  <si>
    <t>Apontar atrasados(replan)</t>
  </si>
  <si>
    <t>Inicio dos Estudos  (ALPEK)</t>
  </si>
  <si>
    <t>Aprovação do REIQ no MDIC</t>
  </si>
  <si>
    <t>Sim</t>
  </si>
  <si>
    <t>Aprovação CAPEX (ALPEK)</t>
  </si>
  <si>
    <t>Aprovação projeto fabricação Pleno de Ar</t>
  </si>
  <si>
    <t>Aprovação do projeto dos filtros Mott LM/CRU</t>
  </si>
  <si>
    <t>Recebimento do Pleno de AR SUAPEK 2</t>
  </si>
  <si>
    <t>Parada do PTA</t>
  </si>
  <si>
    <t>Comissionamentos e Partidas</t>
  </si>
  <si>
    <t>Projeto LM - CRU</t>
  </si>
  <si>
    <t>Emissão do Termo de Abertura - TAP</t>
  </si>
  <si>
    <t>Elaboração do Projeto Básico Processo do CRU</t>
  </si>
  <si>
    <t>Revisão e conclusão do Projeto - FEL 3</t>
  </si>
  <si>
    <t>Emissão de MD para contratação de C&amp;M</t>
  </si>
  <si>
    <t>Conclusão de Projeto Detalhado</t>
  </si>
  <si>
    <t>Revisão do Projeto para Implantação</t>
  </si>
  <si>
    <t>Início da Montagem da Tubulação da Linha de Água Gelada</t>
  </si>
  <si>
    <t>Emissão de MD para contratação de C&amp;M - Pleno de Ar</t>
  </si>
  <si>
    <t>Fabricação e Entrega dos Demais itens Suapek 2</t>
  </si>
  <si>
    <t>Parada do PTA (Instalação dos Equipamentos Suapek 2)</t>
  </si>
  <si>
    <t>Comissionamento e Partida</t>
  </si>
  <si>
    <t>Revisão do Projeto Detalhado para Implantação</t>
  </si>
  <si>
    <t>Aquisição dos Internos do Reator</t>
  </si>
  <si>
    <t>Fabricação e Entrega dos Internos do Reator</t>
  </si>
  <si>
    <t>Parada do PTA (Instalação dos Internos do Reator)</t>
  </si>
  <si>
    <t>Inclusão do projeto pelo MDIC e aprovação do CAPEX</t>
  </si>
  <si>
    <t>Aquisição do Gasfoil - Emissão de PO</t>
  </si>
  <si>
    <t>Aquisição dos demais itens (demais materiais e contratação de serviço)</t>
  </si>
  <si>
    <t>Chegada das Pás</t>
  </si>
  <si>
    <t>Finanças</t>
  </si>
  <si>
    <t>Finanças (in KDolar)</t>
  </si>
  <si>
    <t>Budget</t>
  </si>
  <si>
    <t>Empenhado</t>
  </si>
  <si>
    <t>Contabilizado</t>
  </si>
  <si>
    <t>Desembolsado</t>
  </si>
  <si>
    <t>A empenhar</t>
  </si>
  <si>
    <t>Custo Final Provável</t>
  </si>
  <si>
    <t>Benef.REIQ  Real Acum.</t>
  </si>
  <si>
    <t>Benef.REIQ  Prev. Total</t>
  </si>
  <si>
    <t>Principais Atividades Desta Semana</t>
  </si>
  <si>
    <t>Em andamento projeto para fabricação dos filtros Mott</t>
  </si>
  <si>
    <t>Principais Atividades prox Semana</t>
  </si>
  <si>
    <t>Em andamento projeto detalhado LM/CRU- Genpro</t>
  </si>
  <si>
    <t>Riscos</t>
  </si>
  <si>
    <t>Possibilidade de multa por falha de atendimento à critérios legais do REIQ</t>
  </si>
  <si>
    <t>Descrição</t>
  </si>
  <si>
    <t>Valor</t>
  </si>
  <si>
    <t>Camfill</t>
  </si>
  <si>
    <t xml:space="preserve"> R$         3.850.000,00</t>
  </si>
  <si>
    <t>KTS</t>
  </si>
  <si>
    <t xml:space="preserve"> R$         1.237.500,00</t>
  </si>
  <si>
    <t>Genpro</t>
  </si>
  <si>
    <t xml:space="preserve"> R$             505.000,00</t>
  </si>
  <si>
    <t xml:space="preserve"> R$             500.000,00</t>
  </si>
  <si>
    <t>STAHL</t>
  </si>
  <si>
    <t xml:space="preserve"> R$               50.702,83</t>
  </si>
  <si>
    <t>GEOSENSORI</t>
  </si>
  <si>
    <t xml:space="preserve"> R$               22.258,30</t>
  </si>
  <si>
    <t>SIDER</t>
  </si>
  <si>
    <t xml:space="preserve"> R$                 2.853,56</t>
  </si>
  <si>
    <t>UNIVAL</t>
  </si>
  <si>
    <t xml:space="preserve"> R$                     397,77</t>
  </si>
  <si>
    <t>METALICABRAZ</t>
  </si>
  <si>
    <t xml:space="preserve"> R$                     994,00</t>
  </si>
  <si>
    <t>TRFLAN</t>
  </si>
  <si>
    <t xml:space="preserve"> R$               16.922,68</t>
  </si>
  <si>
    <t>KW</t>
  </si>
  <si>
    <t xml:space="preserve"> R$             300.000,00</t>
  </si>
  <si>
    <t>Filtros  Mott</t>
  </si>
  <si>
    <t xml:space="preserve"> R$         2.378.200,00</t>
  </si>
  <si>
    <t xml:space="preserve"> R$         1.783.650,00</t>
  </si>
  <si>
    <t xml:space="preserve"> R$         3.567.300,00</t>
  </si>
  <si>
    <t>Gasfoil - Equipamento</t>
  </si>
  <si>
    <t xml:space="preserve"> R$         1.225.895,00</t>
  </si>
  <si>
    <t>Gasfoil - Outros materiais</t>
  </si>
  <si>
    <t xml:space="preserve"> R$             335.500,00</t>
  </si>
  <si>
    <t>VALVULA DE CONTROLE GLOBO</t>
  </si>
  <si>
    <t xml:space="preserve"> R$             260.000,00</t>
  </si>
  <si>
    <t>Tubulações em titânio</t>
  </si>
  <si>
    <t xml:space="preserve"> R$               22.000,00</t>
  </si>
  <si>
    <t>VÁLVULAS MANUAIS</t>
  </si>
  <si>
    <t xml:space="preserve"> R$               55.000,00</t>
  </si>
  <si>
    <t>CONEXÕES AÇO CARBONO</t>
  </si>
  <si>
    <t xml:space="preserve"> R$               20.000,00</t>
  </si>
  <si>
    <t>ENGATE</t>
  </si>
  <si>
    <t xml:space="preserve"> R$                 3.000,00</t>
  </si>
  <si>
    <t>Material de isolamento água gelada</t>
  </si>
  <si>
    <t xml:space="preserve"> R$               60.000,00</t>
  </si>
  <si>
    <t>VÁLVULAS BORBOLETAS</t>
  </si>
  <si>
    <t xml:space="preserve"> R$               30.000,00</t>
  </si>
  <si>
    <t>Materiais Diversos</t>
  </si>
  <si>
    <t xml:space="preserve"> R$               50.000,00</t>
  </si>
  <si>
    <t>Projeto Detalhado LM/CRU</t>
  </si>
  <si>
    <t>Entrega do Pleno de Ar</t>
  </si>
  <si>
    <t>Entrega Filtros - LM/CRU</t>
  </si>
  <si>
    <t>Projeto Detalhado (Incluso FEL3)</t>
  </si>
  <si>
    <t>Modificações na data da parada do PTA em Out/26 (Antecipação ou postergação)</t>
  </si>
  <si>
    <t>Atraso na entrega dos materiais para C&amp;M para o LM/CRU</t>
  </si>
  <si>
    <t>Início da Construção e Montagem eletromecânica</t>
  </si>
  <si>
    <t xml:space="preserve">Recebimento do E1-304 </t>
  </si>
  <si>
    <t>Recebimento das Pás - Gasfoil</t>
  </si>
  <si>
    <t>Início da C&amp;M eletromecânica - LM/CRU</t>
  </si>
  <si>
    <t>Em andamento validação das FD's de instrumentos - LM/CRU</t>
  </si>
  <si>
    <t>Início da Parada do PTA</t>
  </si>
  <si>
    <t>Em andamento fabricação do trocador de calor E1-304 - Baose</t>
  </si>
  <si>
    <t>Em andamento fabricação das pás do Reator D1-301 - Gasfoil Ekato</t>
  </si>
  <si>
    <t>Em andamento fabricação do Pleno de Ar - Camfil / Zeppelin</t>
  </si>
  <si>
    <t>Atraso na entrega de materiais e equipamentos importados devido a conflitos e incertezas globais</t>
  </si>
  <si>
    <t>Em andamento separação de materiais de titânio para envio a Titanews</t>
  </si>
  <si>
    <t>Benef.REIQ Prev. Abr/26</t>
  </si>
  <si>
    <t>Em andamento a fabricação de materiais para os internos do reator - Titanews</t>
  </si>
  <si>
    <t>Em andamento revisões e emissões de PID's do projeto detalhado - Genpro</t>
  </si>
  <si>
    <t>Em andamento passagem de cabos para a bomba G1-407A/B</t>
  </si>
  <si>
    <t>Em andamento elaboração de propostas para montagem mecânica LM/CRU - KW e Coating</t>
  </si>
  <si>
    <t>Em andamento compra de materiais (cabos elétricos - SDCD - válvulas de controle - tubulações) - LM/CRU</t>
  </si>
  <si>
    <t>Análise das OS's de serviços adicionais da Genpro</t>
  </si>
  <si>
    <t>Recebimento do relatório de sondagem do piso do local de patolamento do guindaste para montagem do E1-304</t>
  </si>
  <si>
    <t>Aprovação da revisão do orçamento para montagem da RV/D1-401</t>
  </si>
  <si>
    <t>Emissão de PO para locação da linha de eixo para movimentação do Trocador de Calor E1-304</t>
  </si>
  <si>
    <t xml:space="preserve">Desmontagem de andaimes para linha de injeção de Água Desmineralizada p/ F1-1601 </t>
  </si>
  <si>
    <t>Conclusão de revisões e emissões de PID's do projeto detalhado - Genpro</t>
  </si>
  <si>
    <t>Emissão de PO para cabos de instrumentação</t>
  </si>
  <si>
    <t>Emissão de PRs para válvulas: segurança, on off</t>
  </si>
  <si>
    <t>Emissão de PR e PO para válvulas de controle</t>
  </si>
  <si>
    <t>Aprovação do orçamento para montagem do telhado para instalação da nova casa de ar - KW</t>
  </si>
  <si>
    <t>Em andamento orçamento para serviços estrutura metálica para apoio da nova casa de ar  - KW</t>
  </si>
  <si>
    <t xml:space="preserve">Em andamento orçamento para fabricação de estrutura metálica para apoio da nova casa de ar </t>
  </si>
  <si>
    <t>Em andamento a fabricação da casa de ar - Camfil/Zeppelin</t>
  </si>
  <si>
    <t>Condições climáticas desfavoráveis</t>
  </si>
  <si>
    <t>Emissão de NF para materiais de SDCD - Yokogawa</t>
  </si>
  <si>
    <t>Em andamento sondagem do piso do local de patolamento do guindaste para montagem do E1-304</t>
  </si>
  <si>
    <t>Em andamento contratação para embalagem da serpentina na Zeppelin</t>
  </si>
  <si>
    <t>Em andamento negociação comercial para cabos de instrumentação</t>
  </si>
  <si>
    <t>Recebimento de orçamento para serviços de base civil para nova casa de ar - KW</t>
  </si>
  <si>
    <t>Análise de orçamento para serviços de base civil para nova casa de ar da KW</t>
  </si>
  <si>
    <t>Em andamento análise da contratação para serviço de isolamento da casa de ar na Zeppelin</t>
  </si>
  <si>
    <t>Recebimento de proposta para válvula reguladora de pressão/ enviado por AZ ARMATUREN e AXPR</t>
  </si>
  <si>
    <t>Recebimento de proposta para medidores de vazão magnéticos/ enviado por CONAUT</t>
  </si>
  <si>
    <t>Recebimento de proposta para valvula de controle/ enviado por AZ ARMATUREN e AXPR </t>
  </si>
  <si>
    <t>Recebimento de proposta revisada para termômetro/ enviada por ENDRESS e WIKA</t>
  </si>
  <si>
    <t>Recebimento de proposta para valvula de controle pela EMERSON</t>
  </si>
  <si>
    <t>Emissão de PO para contratação da fabricação da estrutura metálica pela Galvanisa</t>
  </si>
  <si>
    <t>Emissão de PO para contratação da fabricação da estrutura metálica pela Galvanisa - Suapek II e LM/CRU</t>
  </si>
  <si>
    <t>Envio de Notas fiscais do mês de Abril/26 para TRI - REIQ</t>
  </si>
  <si>
    <t>Em andamento elaboração de propostas para montagem mecânica - KW e Coating</t>
  </si>
  <si>
    <t>Recebimento de propostas para montagem mecânica - KW e Coating</t>
  </si>
  <si>
    <t>Recebimento de propostas para montagem mecânica LM/CRU - KW e Coating</t>
  </si>
  <si>
    <t>Workshop Suapek X</t>
  </si>
  <si>
    <t>Recebimento de propostas técnicas para troca da PCV 22169</t>
  </si>
  <si>
    <t>Revisão das modelagens de tubulação</t>
  </si>
  <si>
    <t>Revisão das memórias de cálculo de válvulas de alivio, bombas, injetor H1-703</t>
  </si>
  <si>
    <t>Recebimento do trocador espiral E1-520</t>
  </si>
  <si>
    <t>Recebimento dos vasos de aço carbono - F1-522, F1-524 e F1-528</t>
  </si>
  <si>
    <t>Recebimento do vaso de inox F1-529</t>
  </si>
  <si>
    <t>Recebimento dos Filtros Mott</t>
  </si>
  <si>
    <t>Recebimento dos Filtros Mott - LM/CRU</t>
  </si>
  <si>
    <t>Recebimento do trocador espiral E1-520 - LM/CRU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</si>
</sst>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6"/>
      <color rgb="FF0082BA"/>
      <name val="Times New Roman"/>
      <family val="1"/>
    </font>
    <font>
      <b/>
      <sz val="10"/>
      <color theme="1"/>
      <name val="Times New Roman"/>
      <family val="1"/>
    </font>
    <font>
      <b/>
      <sz val="14"/>
      <color rgb="FF0082BA"/>
      <name val="Cambria"/>
      <family val="1"/>
    </font>
    <font>
      <sz val="8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0"/>
      <color theme="1"/>
      <name val="Rtime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1"/>
      <color theme="0"/>
      <name val="Calibri"/>
      <family val="2"/>
    </font>
    <font>
      <sz val="10"/>
      <color rgb="FFFF0000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rgb="FFDDEBF7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6" tint="0.79998168889431442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13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indent="1"/>
    </xf>
    <xf numFmtId="14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vertical="center"/>
    </xf>
    <xf numFmtId="0" fontId="1" fillId="0" borderId="0" xfId="0" applyFont="1" applyAlignment="1">
      <alignment horizontal="justify" vertical="center"/>
    </xf>
    <xf numFmtId="9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6" fillId="0" borderId="0" xfId="0" applyFont="1"/>
    <xf numFmtId="0" fontId="0" fillId="0" borderId="0" xfId="0" quotePrefix="1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applyBorder="1"/>
    <xf numFmtId="14" fontId="1" fillId="0" borderId="1" xfId="0" applyNumberFormat="1" applyFont="1" applyBorder="1" applyAlignment="1">
      <alignment vertical="center"/>
    </xf>
    <xf numFmtId="0" fontId="1" fillId="3" borderId="3" xfId="0" applyFont="1" applyFill="1" applyBorder="1"/>
    <xf numFmtId="0" fontId="1" fillId="4" borderId="0" xfId="0" applyFont="1" applyFill="1"/>
    <xf numFmtId="0" fontId="0" fillId="0" borderId="0" xfId="0" applyAlignment="1">
      <alignment horizontal="center"/>
    </xf>
    <xf numFmtId="1" fontId="0" fillId="0" borderId="0" xfId="0" applyNumberFormat="1"/>
    <xf numFmtId="0" fontId="7" fillId="5" borderId="0" xfId="0" applyFont="1" applyFill="1" applyAlignment="1">
      <alignment horizontal="justify" vertical="center"/>
    </xf>
    <xf numFmtId="0" fontId="8" fillId="0" borderId="0" xfId="0" applyFont="1"/>
    <xf numFmtId="17" fontId="0" fillId="0" borderId="0" xfId="0" applyNumberFormat="1"/>
    <xf numFmtId="10" fontId="0" fillId="0" borderId="0" xfId="1" applyNumberFormat="1" applyFont="1"/>
    <xf numFmtId="0" fontId="10" fillId="2" borderId="0" xfId="0" applyFont="1" applyFill="1"/>
    <xf numFmtId="0" fontId="10" fillId="6" borderId="0" xfId="0" applyFont="1" applyFill="1"/>
    <xf numFmtId="0" fontId="10" fillId="7" borderId="0" xfId="0" applyFont="1" applyFill="1"/>
    <xf numFmtId="0" fontId="10" fillId="8" borderId="0" xfId="0" applyFont="1" applyFill="1"/>
    <xf numFmtId="0" fontId="10" fillId="2" borderId="0" xfId="0" applyFont="1" applyFill="1" applyAlignment="1">
      <alignment horizontal="left"/>
    </xf>
    <xf numFmtId="14" fontId="0" fillId="0" borderId="0" xfId="0" applyNumberFormat="1" applyAlignment="1">
      <alignment horizontal="left"/>
    </xf>
    <xf numFmtId="14" fontId="10" fillId="6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14" fontId="0" fillId="9" borderId="0" xfId="0" applyNumberFormat="1" applyFill="1" applyAlignment="1">
      <alignment horizontal="center"/>
    </xf>
    <xf numFmtId="0" fontId="0" fillId="9" borderId="0" xfId="0" applyFill="1"/>
    <xf numFmtId="14" fontId="0" fillId="10" borderId="0" xfId="0" applyNumberFormat="1" applyFill="1" applyAlignment="1">
      <alignment horizontal="center"/>
    </xf>
    <xf numFmtId="0" fontId="0" fillId="10" borderId="0" xfId="0" applyFill="1"/>
    <xf numFmtId="14" fontId="0" fillId="11" borderId="0" xfId="0" applyNumberFormat="1" applyFill="1" applyAlignment="1">
      <alignment horizontal="center"/>
    </xf>
    <xf numFmtId="0" fontId="0" fillId="11" borderId="0" xfId="0" applyFill="1"/>
    <xf numFmtId="14" fontId="0" fillId="12" borderId="0" xfId="0" applyNumberFormat="1" applyFill="1" applyAlignment="1">
      <alignment horizontal="left"/>
    </xf>
    <xf numFmtId="0" fontId="0" fillId="12" borderId="0" xfId="0" applyFill="1"/>
    <xf numFmtId="9" fontId="0" fillId="0" borderId="0" xfId="1" applyFont="1" applyAlignment="1">
      <alignment horizontal="center"/>
    </xf>
    <xf numFmtId="0" fontId="0" fillId="0" borderId="6" xfId="0" applyBorder="1"/>
    <xf numFmtId="10" fontId="0" fillId="0" borderId="0" xfId="1" applyNumberFormat="1" applyFont="1" applyAlignment="1">
      <alignment horizontal="center"/>
    </xf>
    <xf numFmtId="14" fontId="0" fillId="0" borderId="0" xfId="0" applyNumberFormat="1"/>
    <xf numFmtId="10" fontId="0" fillId="5" borderId="0" xfId="1" applyNumberFormat="1" applyFont="1" applyFill="1"/>
    <xf numFmtId="0" fontId="0" fillId="0" borderId="7" xfId="0" applyBorder="1"/>
    <xf numFmtId="0" fontId="0" fillId="2" borderId="0" xfId="0" applyFill="1"/>
    <xf numFmtId="0" fontId="0" fillId="5" borderId="0" xfId="0" applyFill="1"/>
    <xf numFmtId="10" fontId="0" fillId="13" borderId="0" xfId="1" applyNumberFormat="1" applyFont="1" applyFill="1"/>
    <xf numFmtId="0" fontId="0" fillId="5" borderId="0" xfId="0" quotePrefix="1" applyFill="1"/>
    <xf numFmtId="0" fontId="1" fillId="0" borderId="6" xfId="0" applyFont="1" applyBorder="1" applyAlignment="1">
      <alignment horizontal="justify" vertical="center"/>
    </xf>
    <xf numFmtId="0" fontId="0" fillId="14" borderId="2" xfId="0" applyFill="1" applyBorder="1"/>
    <xf numFmtId="0" fontId="0" fillId="14" borderId="1" xfId="0" applyFill="1" applyBorder="1"/>
    <xf numFmtId="0" fontId="7" fillId="14" borderId="0" xfId="0" applyFont="1" applyFill="1" applyAlignment="1">
      <alignment horizontal="justify" vertical="center"/>
    </xf>
    <xf numFmtId="0" fontId="0" fillId="14" borderId="0" xfId="0" applyFill="1"/>
    <xf numFmtId="0" fontId="12" fillId="0" borderId="0" xfId="0" applyFont="1"/>
    <xf numFmtId="14" fontId="12" fillId="0" borderId="0" xfId="0" applyNumberFormat="1" applyFont="1"/>
    <xf numFmtId="0" fontId="12" fillId="15" borderId="0" xfId="0" applyFont="1" applyFill="1"/>
    <xf numFmtId="0" fontId="13" fillId="16" borderId="0" xfId="0" applyFont="1" applyFill="1" applyAlignment="1">
      <alignment wrapText="1"/>
    </xf>
    <xf numFmtId="0" fontId="13" fillId="15" borderId="0" xfId="0" applyFont="1" applyFill="1" applyAlignment="1">
      <alignment wrapText="1"/>
    </xf>
    <xf numFmtId="0" fontId="14" fillId="0" borderId="0" xfId="0" applyFont="1"/>
    <xf numFmtId="14" fontId="0" fillId="0" borderId="6" xfId="0" applyNumberFormat="1" applyBorder="1"/>
    <xf numFmtId="1" fontId="0" fillId="0" borderId="6" xfId="0" applyNumberFormat="1" applyBorder="1"/>
    <xf numFmtId="0" fontId="8" fillId="0" borderId="2" xfId="0" applyFont="1" applyBorder="1" applyAlignment="1">
      <alignment wrapText="1"/>
    </xf>
    <xf numFmtId="0" fontId="15" fillId="3" borderId="3" xfId="0" applyFont="1" applyFill="1" applyBorder="1"/>
    <xf numFmtId="0" fontId="8" fillId="0" borderId="6" xfId="0" applyFont="1" applyBorder="1"/>
    <xf numFmtId="0" fontId="15" fillId="0" borderId="6" xfId="0" applyFont="1" applyBorder="1" applyAlignment="1">
      <alignment vertical="center"/>
    </xf>
    <xf numFmtId="14" fontId="15" fillId="0" borderId="6" xfId="0" applyNumberFormat="1" applyFont="1" applyBorder="1" applyAlignment="1">
      <alignment vertical="center"/>
    </xf>
    <xf numFmtId="14" fontId="1" fillId="0" borderId="6" xfId="0" applyNumberFormat="1" applyFont="1" applyBorder="1" applyAlignment="1">
      <alignment vertical="center"/>
    </xf>
    <xf numFmtId="0" fontId="15" fillId="14" borderId="3" xfId="0" applyFont="1" applyFill="1" applyBorder="1"/>
    <xf numFmtId="0" fontId="8" fillId="14" borderId="2" xfId="0" applyFont="1" applyFill="1" applyBorder="1" applyAlignment="1">
      <alignment wrapText="1"/>
    </xf>
    <xf numFmtId="0" fontId="1" fillId="14" borderId="0" xfId="0" applyFont="1" applyFill="1"/>
    <xf numFmtId="0" fontId="1" fillId="0" borderId="6" xfId="0" applyFont="1" applyBorder="1"/>
    <xf numFmtId="10" fontId="0" fillId="5" borderId="0" xfId="0" applyNumberFormat="1" applyFill="1"/>
    <xf numFmtId="9" fontId="0" fillId="5" borderId="0" xfId="0" applyNumberFormat="1" applyFill="1"/>
    <xf numFmtId="0" fontId="0" fillId="14" borderId="0" xfId="0" applyFill="1" applyAlignment="1">
      <alignment wrapText="1"/>
    </xf>
    <xf numFmtId="9" fontId="0" fillId="14" borderId="0" xfId="0" applyNumberFormat="1" applyFill="1"/>
    <xf numFmtId="0" fontId="8" fillId="14" borderId="0" xfId="0" applyFont="1" applyFill="1"/>
    <xf numFmtId="10" fontId="0" fillId="0" borderId="0" xfId="0" applyNumberFormat="1"/>
    <xf numFmtId="0" fontId="1" fillId="14" borderId="0" xfId="0" applyFont="1" applyFill="1" applyAlignment="1">
      <alignment horizontal="justify" vertical="center"/>
    </xf>
    <xf numFmtId="0" fontId="10" fillId="17" borderId="0" xfId="0" applyFont="1" applyFill="1"/>
    <xf numFmtId="0" fontId="0" fillId="17" borderId="0" xfId="0" applyFill="1"/>
    <xf numFmtId="9" fontId="0" fillId="0" borderId="0" xfId="1" applyFont="1"/>
    <xf numFmtId="0" fontId="15" fillId="0" borderId="0" xfId="0" applyFont="1" applyAlignment="1">
      <alignment vertical="center"/>
    </xf>
    <xf numFmtId="0" fontId="0" fillId="2" borderId="0" xfId="0" quotePrefix="1" applyFill="1"/>
    <xf numFmtId="10" fontId="0" fillId="0" borderId="0" xfId="0" applyNumberFormat="1" applyAlignment="1">
      <alignment vertical="center" wrapText="1"/>
    </xf>
    <xf numFmtId="14" fontId="1" fillId="5" borderId="0" xfId="0" applyNumberFormat="1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10" fontId="0" fillId="18" borderId="0" xfId="0" applyNumberFormat="1" applyFill="1"/>
    <xf numFmtId="0" fontId="0" fillId="18" borderId="0" xfId="0" applyFill="1"/>
    <xf numFmtId="0" fontId="1" fillId="18" borderId="0" xfId="0" applyFont="1" applyFill="1"/>
    <xf numFmtId="0" fontId="8" fillId="18" borderId="0" xfId="0" applyFont="1" applyFill="1"/>
    <xf numFmtId="0" fontId="15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14" fontId="1" fillId="2" borderId="1" xfId="0" applyNumberFormat="1" applyFont="1" applyFill="1" applyBorder="1" applyAlignment="1">
      <alignment vertical="center"/>
    </xf>
    <xf numFmtId="3" fontId="0" fillId="0" borderId="0" xfId="0" applyNumberFormat="1"/>
    <xf numFmtId="3" fontId="0" fillId="5" borderId="0" xfId="0" applyNumberFormat="1" applyFill="1"/>
    <xf numFmtId="3" fontId="0" fillId="18" borderId="0" xfId="0" applyNumberFormat="1" applyFill="1"/>
    <xf numFmtId="0" fontId="15" fillId="11" borderId="0" xfId="0" applyFont="1" applyFill="1" applyAlignment="1">
      <alignment vertical="center"/>
    </xf>
    <xf numFmtId="14" fontId="1" fillId="11" borderId="0" xfId="0" applyNumberFormat="1" applyFont="1" applyFill="1" applyAlignment="1">
      <alignment vertical="center"/>
    </xf>
    <xf numFmtId="0" fontId="1" fillId="9" borderId="0" xfId="0" applyFont="1" applyFill="1"/>
    <xf numFmtId="0" fontId="1" fillId="11" borderId="0" xfId="0" applyFont="1" applyFill="1" applyAlignment="1">
      <alignment vertical="center"/>
    </xf>
    <xf numFmtId="14" fontId="1" fillId="11" borderId="1" xfId="0" applyNumberFormat="1" applyFont="1" applyFill="1" applyBorder="1" applyAlignment="1">
      <alignment vertical="center"/>
    </xf>
    <xf numFmtId="0" fontId="8" fillId="14" borderId="0" xfId="0" applyFont="1" applyFill="1" applyAlignment="1">
      <alignment vertical="center" wrapText="1"/>
    </xf>
    <xf numFmtId="14" fontId="15" fillId="14" borderId="0" xfId="0" applyNumberFormat="1" applyFont="1" applyFill="1" applyAlignment="1">
      <alignment vertical="center"/>
    </xf>
    <xf numFmtId="0" fontId="15" fillId="14" borderId="0" xfId="0" applyFont="1" applyFill="1" applyAlignment="1">
      <alignment vertical="center"/>
    </xf>
    <xf numFmtId="14" fontId="1" fillId="14" borderId="0" xfId="0" applyNumberFormat="1" applyFont="1" applyFill="1" applyAlignment="1">
      <alignment vertical="center"/>
    </xf>
    <xf numFmtId="10" fontId="0" fillId="13" borderId="0" xfId="0" applyNumberFormat="1" applyFill="1"/>
    <xf numFmtId="0" fontId="10" fillId="19" borderId="0" xfId="0" applyFont="1" applyFill="1"/>
    <xf numFmtId="0" fontId="0" fillId="19" borderId="0" xfId="0" applyFill="1"/>
    <xf numFmtId="17" fontId="0" fillId="19" borderId="0" xfId="0" applyNumberFormat="1" applyFill="1"/>
    <xf numFmtId="10" fontId="0" fillId="19" borderId="0" xfId="1" applyNumberFormat="1" applyFont="1" applyFill="1"/>
    <xf numFmtId="10" fontId="0" fillId="19" borderId="0" xfId="0" applyNumberFormat="1" applyFill="1" applyAlignment="1">
      <alignment vertical="center" wrapText="1"/>
    </xf>
    <xf numFmtId="0" fontId="0" fillId="20" borderId="0" xfId="0" applyFill="1"/>
    <xf numFmtId="0" fontId="1" fillId="20" borderId="0" xfId="0" applyFont="1" applyFill="1"/>
    <xf numFmtId="3" fontId="0" fillId="20" borderId="0" xfId="0" applyNumberFormat="1" applyFill="1"/>
    <xf numFmtId="0" fontId="8" fillId="20" borderId="0" xfId="0" applyFont="1" applyFill="1"/>
    <xf numFmtId="0" fontId="0" fillId="20" borderId="2" xfId="0" applyFill="1" applyBorder="1" applyAlignment="1">
      <alignment wrapText="1"/>
    </xf>
    <xf numFmtId="0" fontId="1" fillId="20" borderId="3" xfId="0" applyFont="1" applyFill="1" applyBorder="1"/>
    <xf numFmtId="0" fontId="0" fillId="21" borderId="4" xfId="0" applyFill="1" applyBorder="1"/>
    <xf numFmtId="0" fontId="1" fillId="21" borderId="5" xfId="0" applyFont="1" applyFill="1" applyBorder="1"/>
    <xf numFmtId="0" fontId="8" fillId="5" borderId="0" xfId="0" applyFont="1" applyFill="1"/>
    <xf numFmtId="14" fontId="1" fillId="5" borderId="1" xfId="0" applyNumberFormat="1" applyFont="1" applyFill="1" applyBorder="1" applyAlignment="1">
      <alignment vertical="center"/>
    </xf>
    <xf numFmtId="0" fontId="15" fillId="18" borderId="0" xfId="0" applyFont="1" applyFill="1" applyAlignment="1">
      <alignment vertical="center"/>
    </xf>
    <xf numFmtId="14" fontId="1" fillId="18" borderId="1" xfId="0" applyNumberFormat="1" applyFont="1" applyFill="1" applyBorder="1" applyAlignment="1">
      <alignment vertical="center"/>
    </xf>
    <xf numFmtId="14" fontId="1" fillId="18" borderId="0" xfId="0" applyNumberFormat="1" applyFont="1" applyFill="1" applyAlignment="1">
      <alignment vertical="center"/>
    </xf>
    <xf numFmtId="0" fontId="7" fillId="0" borderId="0" xfId="0" applyFont="1" applyAlignment="1">
      <alignment horizontal="justify" vertical="center"/>
    </xf>
    <xf numFmtId="10" fontId="0" fillId="0" borderId="0" xfId="1" applyNumberFormat="1" applyFont="1" applyFill="1"/>
    <xf numFmtId="0" fontId="0" fillId="22" borderId="0" xfId="0" applyFill="1"/>
    <xf numFmtId="0" fontId="1" fillId="22" borderId="0" xfId="0" applyFont="1" applyFill="1"/>
    <xf numFmtId="0" fontId="0" fillId="22" borderId="0" xfId="0" quotePrefix="1" applyFill="1"/>
    <xf numFmtId="0" fontId="1" fillId="23" borderId="0" xfId="0" applyFont="1" applyFill="1"/>
    <xf numFmtId="0" fontId="0" fillId="23" borderId="0" xfId="0" quotePrefix="1" applyFill="1"/>
    <xf numFmtId="10" fontId="0" fillId="23" borderId="0" xfId="0" applyNumberFormat="1" applyFill="1"/>
    <xf numFmtId="0" fontId="0" fillId="23" borderId="0" xfId="0" applyFill="1"/>
    <xf numFmtId="0" fontId="8" fillId="23" borderId="0" xfId="0" applyFont="1" applyFill="1"/>
    <xf numFmtId="0" fontId="11" fillId="20" borderId="0" xfId="0" applyFont="1" applyFill="1"/>
  </cellXfs>
  <cellStyles count="2">
    <cellStyle name="Normal" xfId="0" builtinId="0"/>
    <cellStyle name="Porcentagem" xfId="1" builtinId="5"/>
  </cellStyles>
  <dxfs count="33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000000"/>
          <bgColor rgb="FFFFFF0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justify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z val="10"/>
        <name val="Rtime"/>
        <scheme val="none"/>
      </font>
      <fill>
        <patternFill patternType="solid">
          <fgColor indexed="64"/>
          <bgColor theme="0"/>
        </patternFill>
      </fill>
      <alignment horizontal="justify" vertical="center" textRotation="0" wrapText="0" indent="0" justifyLastLine="0" shrinkToFit="0" readingOrder="0"/>
    </dxf>
    <dxf>
      <border diagonalUp="0" diagonalDown="0">
        <left/>
        <right/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6" tint="0.39997558519241921"/>
        </left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9" formatCode="dd/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Times New Roman"/>
        <family val="1"/>
        <scheme val="none"/>
      </font>
      <numFmt numFmtId="19" formatCode="dd/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Times New Roman"/>
        <family val="1"/>
        <scheme val="none"/>
      </font>
      <fill>
        <patternFill patternType="solid">
          <fgColor indexed="64"/>
          <bgColor theme="6" tint="0.79998168889431442"/>
        </patternFill>
      </fill>
      <border diagonalUp="0" diagonalDown="0">
        <left/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theme="6" tint="0.39997558519241921"/>
        </left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82BA"/>
        <name val="Times New Roman"/>
        <family val="1"/>
        <scheme val="none"/>
      </font>
      <alignment horizontal="left" vertical="center" textRotation="0" wrapText="0" indent="1" justifyLastLine="0" shrinkToFit="0" readingOrder="0"/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time"/>
        <scheme val="none"/>
      </font>
      <alignment horizontal="justify" vertical="center" textRotation="0" wrapText="0" indent="0" justifyLastLine="0" shrinkToFit="0" readingOrder="0"/>
    </dxf>
    <dxf>
      <border diagonalUp="0" diagonalDown="0" outline="0">
        <left/>
        <right/>
        <top style="thin">
          <color theme="4"/>
        </top>
        <bottom/>
      </border>
    </dxf>
    <dxf>
      <border diagonalUp="0" diagonalDown="0">
        <left/>
        <right/>
        <top style="thin">
          <color theme="4"/>
        </top>
        <bottom style="thin">
          <color theme="4"/>
        </bottom>
        <vertical/>
        <horizontal/>
      </border>
    </dxf>
    <dxf>
      <border diagonalUp="0" diagonalDown="0" outline="0">
        <left style="thin">
          <color theme="6" tint="0.39997558519241921"/>
        </left>
        <right/>
        <top style="thin">
          <color theme="6" tint="0.39997558519241921"/>
        </top>
        <bottom/>
      </border>
    </dxf>
    <dxf>
      <border diagonalUp="0" diagonalDown="0">
        <left style="thin">
          <color theme="6" tint="0.39997558519241921"/>
        </left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</dxfs>
  <tableStyles count="1" defaultTableStyle="TableStyleMedium2" defaultPivotStyle="PivotStyleLight16">
    <tableStyle name="Invisible" pivot="0" table="0" count="0" xr9:uid="{B00B816C-E401-4B84-B3DB-ED60053C2176}"/>
  </tableStyles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247650</xdr:colOff>
      <xdr:row>1</xdr:row>
      <xdr:rowOff>66675</xdr:rowOff>
    </xdr:from>
    <xdr:to>
      <xdr:col>7</xdr:col>
      <xdr:colOff>590550</xdr:colOff>
      <xdr:row>3</xdr:row>
      <xdr:rowOff>47625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8C060006-7A5F-D281-2F8B-2DA7C92DB6A9}"/>
            </a:ext>
          </a:extLst>
        </xdr:cNvPr>
        <xdr:cNvSpPr/>
      </xdr:nvSpPr>
      <xdr:spPr>
        <a:xfrm>
          <a:off x="8572500" y="257175"/>
          <a:ext cx="342900" cy="361950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54255A-85FF-478D-ACCD-D16498D0E0A1}" name="Tabela1" displayName="Tabela1" ref="A1:I2" totalsRowShown="0" headerRowDxfId="25">
  <autoFilter ref="A1:I2" xr:uid="{7F54255A-85FF-478D-ACCD-D16498D0E0A1}"/>
  <tableColumns count="9">
    <tableColumn id="1" xr3:uid="{1028D891-9584-4395-A53B-5C8F3713CBB2}" name="Título relatório"/>
    <tableColumn id="2" xr3:uid="{BE065C15-F573-4443-809A-F33C7F33D938}" name="Detalhes do Projeto"/>
    <tableColumn id="3" xr3:uid="{129974CB-5679-44C0-A3FF-48F22EDD50AF}" name="Título do Projeto"/>
    <tableColumn id="4" xr3:uid="{D26D5F0C-1F6A-4401-BE1C-4B2989A6DB10}" name="Data do Relatório"/>
    <tableColumn id="5" xr3:uid="{2536DEF7-2A0C-4A6E-AFF2-B7A3176CDFDF}" name="Semana"/>
    <tableColumn id="6" xr3:uid="{A68CDAA0-59FA-4625-9E57-912A54CB8D9D}" name="Unidade de Negócios"/>
    <tableColumn id="7" xr3:uid="{38B5D8E7-DAEA-49AC-9AA8-0DB1CBB1E79A}" name="Project ID"/>
    <tableColumn id="8" xr3:uid="{6D04C6A3-6850-455C-AE67-CE70F2859067}" name="Preparado Por"/>
    <tableColumn id="9" xr3:uid="{4424F2D1-745B-45DE-9F08-AB5977E37D27}" name="Distribuição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EA52205-B6EF-45E4-B352-3FF0CAE0B48C}" name="Tabela9" displayName="Tabela9" ref="A1:B6" totalsRowShown="0">
  <autoFilter ref="A1:B6" xr:uid="{CEA52205-B6EF-45E4-B352-3FF0CAE0B48C}"/>
  <tableColumns count="2">
    <tableColumn id="1" xr3:uid="{0D18F143-B5C2-48C8-B752-301A63333DF1}" name="Project ID"/>
    <tableColumn id="2" xr3:uid="{B9E80F97-67CA-4B27-8210-03034B2FFA9D}" name="Nome Projeto" dataDxfId="24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025450-92DC-4D06-A1CE-F95916C450E9}" name="Tabela2" displayName="Tabela2" ref="A1:G52" totalsRowShown="0">
  <autoFilter ref="A1:G52" xr:uid="{AD025450-92DC-4D06-A1CE-F95916C450E9}"/>
  <sortState xmlns:xlrd2="http://schemas.microsoft.com/office/spreadsheetml/2017/richdata2" ref="A2:G47">
    <sortCondition ref="E1:E47"/>
  </sortState>
  <tableColumns count="7">
    <tableColumn id="1" xr3:uid="{B8CDA0FD-4A52-48A9-AEE8-8A3FF8FC00F1}" name="Project ID"/>
    <tableColumn id="2" xr3:uid="{88FE35D1-DFF4-4EC4-B5E1-EADF45276383}" name="Nome Projeto" dataDxfId="23"/>
    <tableColumn id="3" xr3:uid="{605A1824-5776-448C-B254-68FAB9F6E6CE}" name="Aderência ao Projeto"/>
    <tableColumn id="4" xr3:uid="{416CA0A1-D5F6-428A-91FF-02792493901A}" name="Valor (%)" dataDxfId="22"/>
    <tableColumn id="5" xr3:uid="{16BAAE7A-AAE8-49B0-8BCB-58B28C3E4ECA}" name="Ordem"/>
    <tableColumn id="6" xr3:uid="{0A6196BD-1F51-41FB-AD23-B3EB83A47F19}" name="Proporção"/>
    <tableColumn id="7" xr3:uid="{15611B88-5C15-496D-894F-D8C54C2D8EA7}" name="Tradu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423B0A-74FC-4AD4-999B-1A5E0A85AD71}" name="Tabela3" displayName="Tabela3" ref="A1:G43" totalsRowShown="0">
  <autoFilter ref="A1:G43" xr:uid="{EA423B0A-74FC-4AD4-999B-1A5E0A85AD71}"/>
  <tableColumns count="7">
    <tableColumn id="1" xr3:uid="{F01F6F6D-BCD4-467A-BB7B-B258572A7140}" name="Project ID"/>
    <tableColumn id="2" xr3:uid="{064B5DAA-6BCE-46B6-BBED-B1E9F72DAA23}" name="Nome Projeto" dataDxfId="21"/>
    <tableColumn id="3" xr3:uid="{2E5FC01E-EAD8-4AD0-B12A-DF0A02374F76}" name="Cronograma"/>
    <tableColumn id="4" xr3:uid="{98BD3875-45E7-43CC-AA09-31AF1C444D48}" name="Previsto (%)" dataDxfId="20"/>
    <tableColumn id="5" xr3:uid="{CFDF8FC1-B612-4838-9936-FFF4C2C98E5B}" name="Realizado (%)" dataDxfId="19"/>
    <tableColumn id="6" xr3:uid="{E89375B5-4DA0-4DEB-A417-614E9349C4AF}" name="Ordem"/>
    <tableColumn id="7" xr3:uid="{5EB4CF73-0986-4CAE-AC03-8261C2DB2AFA}" name="Tradu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9EBF00D-6EF7-4C03-8F4F-A32684596A7B}" name="Tabela5" displayName="Tabela5" ref="A1:F68" totalsRowShown="0">
  <autoFilter ref="A1:F68" xr:uid="{F9EBF00D-6EF7-4C03-8F4F-A32684596A7B}"/>
  <tableColumns count="6">
    <tableColumn id="1" xr3:uid="{3B984F73-BDC0-4483-9508-EF36D3A158D0}" name="Project ID"/>
    <tableColumn id="2" xr3:uid="{F391C619-7C26-4CE0-B285-5F7894C8AE2C}" name="Nome Projeto"/>
    <tableColumn id="3" xr3:uid="{6AEBF3FB-2BAD-4F58-B3D7-BDDBB2274EBE}" name="Finanças"/>
    <tableColumn id="4" xr3:uid="{C699E641-4397-47C7-AE4E-0F08DDEF2915}" name="Finanças (in KDolar)"/>
    <tableColumn id="5" xr3:uid="{C48FADB9-6E82-478C-B0EC-9BEBB86C59F9}" name="Ordem"/>
    <tableColumn id="6" xr3:uid="{1C9D917D-DE71-4908-9807-C0FD72DF38E8}" name="Tradu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DE9AEC-F2FA-4401-9405-FDB13B5B3741}" name="Tabela4" displayName="Tabela4" ref="A1:M49" totalsRowShown="0">
  <autoFilter ref="A1:M49" xr:uid="{9BDE9AEC-F2FA-4401-9405-FDB13B5B3741}"/>
  <sortState xmlns:xlrd2="http://schemas.microsoft.com/office/spreadsheetml/2017/richdata2" ref="A2:J42">
    <sortCondition ref="I1:I42"/>
  </sortState>
  <tableColumns count="13">
    <tableColumn id="1" xr3:uid="{DECED0C5-4DC8-47B3-A9E0-9E82E27DDB2A}" name="Project ID" dataDxfId="18"/>
    <tableColumn id="2" xr3:uid="{F693E332-84EE-48B6-B120-064B343EA852}" name="Nome Projeto" dataDxfId="17"/>
    <tableColumn id="3" xr3:uid="{0BDC4641-2C4B-4BF7-9435-9AF752C105C8}" name="Marcos" dataDxfId="16"/>
    <tableColumn id="4" xr3:uid="{C13677E6-2C19-4630-B9F2-B24A35F36D3C}" name="Comentário" dataDxfId="15"/>
    <tableColumn id="10" xr3:uid="{D5366B9F-A1E0-442E-8696-8D4187579667}" name="Coluna1" dataDxfId="14"/>
    <tableColumn id="5" xr3:uid="{C8B4EDA3-4204-4E8B-A5C0-2EA0E730FF8A}" name="Data Planejada" dataDxfId="13"/>
    <tableColumn id="6" xr3:uid="{90BB9678-277F-4B77-9B35-C8D473CDD1B3}" name="Data Real" dataDxfId="12"/>
    <tableColumn id="7" xr3:uid="{0385FC46-96B3-4D07-82E0-47F4E004D00C}" name="Regra_Destac">
      <calculatedColumnFormula>IF(Tabela4[[#This Row],[Data Real]]&lt;&gt;0,1,"")</calculatedColumnFormula>
    </tableColumn>
    <tableColumn id="8" xr3:uid="{2A8536D8-B691-4FBA-A369-2BC045161782}" name="Ordem"/>
    <tableColumn id="9" xr3:uid="{E8524363-ACAA-4D06-B93B-1FA45371BE0A}" name="Steering Comitee"/>
    <tableColumn id="12" xr3:uid="{0DE81DEB-AC24-4CD9-B49E-4B1F6F165AD8}" name="Plan_Inicial"/>
    <tableColumn id="11" xr3:uid="{C90DB070-6DAD-49E0-8B38-DFA4E2D0DE6E}" name="Apontar atrasados(replan)">
      <calculatedColumnFormula>IF(AND(Tabela4[[#This Row],[Data Real]]="",Tabela4[[#This Row],[Data Planejada]]&lt;&gt;"")=TRUE,"🚩","✅")</calculatedColumnFormula>
    </tableColumn>
    <tableColumn id="13" xr3:uid="{38588AE3-3E8C-4DCA-A4B9-800C5A52345C}" name="Tradu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95CC117-6E52-4DD0-8834-B00942FA5700}" name="Tabela6" displayName="Tabela6" ref="A1:E37" totalsRowShown="0">
  <autoFilter ref="A1:E37" xr:uid="{495CC117-6E52-4DD0-8834-B00942FA5700}"/>
  <tableColumns count="5">
    <tableColumn id="1" xr3:uid="{0CF8553A-D6A5-4533-81CA-9DBA1ED8D4A6}" name="Project ID" dataDxfId="11"/>
    <tableColumn id="2" xr3:uid="{3A62FA93-D0E5-44E8-921F-7FE74A6E33FC}" name="Nome Projeto" dataDxfId="10"/>
    <tableColumn id="3" xr3:uid="{1D5212DE-9546-4B27-960B-840A82049B0A}" name="Principais Atividades Desta Semana" dataDxfId="9"/>
    <tableColumn id="4" xr3:uid="{E0191222-4ABD-4E8C-9FA7-DEFA410EF959}" name="Ordem" dataDxfId="8"/>
    <tableColumn id="5" xr3:uid="{BE67BF13-232A-4475-B80F-6B8B666A64D7}" name="Tradu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41C5F2B-AB07-43DD-B081-ADA464C6AAE0}" name="Tabela7" displayName="Tabela7" ref="A1:E31" totalsRowShown="0">
  <autoFilter ref="A1:E31" xr:uid="{441C5F2B-AB07-43DD-B081-ADA464C6AAE0}"/>
  <tableColumns count="5">
    <tableColumn id="1" xr3:uid="{FEC213BC-3521-451D-A9B8-F320B1860764}" name="Project ID" dataDxfId="32" totalsRowDxfId="31"/>
    <tableColumn id="2" xr3:uid="{CA0DA48B-DDCB-4BF9-977F-D9BA6DB0FFF0}" name="Nome Projeto" dataDxfId="30" totalsRowDxfId="29"/>
    <tableColumn id="3" xr3:uid="{34075B49-D77E-4445-9557-331F7485B627}" name="Principais Atividades prox Semana" dataDxfId="28"/>
    <tableColumn id="4" xr3:uid="{C8A7330B-4AF3-4A5E-A836-20ACD66D6F57}" name="Ordem" totalsRowDxfId="27"/>
    <tableColumn id="5" xr3:uid="{4260F5F3-8299-47B2-B0F2-A520AB001F70}" name="Tradutor" totalsRowDxfId="26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92E2338-9E4F-428C-A3D8-85F32492F3F7}" name="Tabela8" displayName="Tabela8" ref="A1:E8" totalsRowShown="0">
  <autoFilter ref="A1:E8" xr:uid="{C92E2338-9E4F-428C-A3D8-85F32492F3F7}"/>
  <tableColumns count="5">
    <tableColumn id="1" xr3:uid="{3FCF4747-DA3C-455E-92B0-5B92468EE943}" name="Project ID" dataDxfId="7"/>
    <tableColumn id="2" xr3:uid="{7C7F270A-57C5-48F8-927F-B23F021F52E9}" name="Nome Projeto" dataDxfId="6"/>
    <tableColumn id="3" xr3:uid="{0E3EC5EA-153F-47EC-A578-3B000C5C5E91}" name="Riscos" dataDxfId="5"/>
    <tableColumn id="4" xr3:uid="{B347D8E6-552A-419B-9B26-58C75A24CFA7}" name="Steering Comitee"/>
    <tableColumn id="5" xr3:uid="{0DCA6889-3469-4FB4-B2B9-DBD65DB34DFC}" name="Tradutor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862CFF7-052E-4DF5-BADA-35D498843370}" name="Tabela11" displayName="Tabela11" ref="A1:C27" totalsRowShown="0" headerRowDxfId="4">
  <autoFilter ref="A1:C27" xr:uid="{7862CFF7-052E-4DF5-BADA-35D498843370}"/>
  <tableColumns count="3">
    <tableColumn id="1" xr3:uid="{BF53B64F-EFC0-4386-926F-A310470C73F7}" name="Descrição" dataDxfId="3"/>
    <tableColumn id="2" xr3:uid="{1389E869-ADE1-41A0-AAFC-C3293DFF585D}" name="Valor" dataDxfId="2"/>
    <tableColumn id="3" xr3:uid="{3FADB5F9-BAB9-4F98-B4C9-56C38B8B7A30}" name="Data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A9B6F-CED8-4389-82BA-B52F04D4361E}">
  <dimension ref="A1:I2"/>
  <sheetViews>
    <sheetView workbookViewId="0">
      <selection activeCell="I1" sqref="I1"/>
    </sheetView>
  </sheetViews>
  <sheetFormatPr defaultRowHeight="14.5"/>
  <cols>
    <col min="1" max="1" width="27.1796875" bestFit="1" customWidth="1"/>
    <col min="2" max="2" width="20.26953125" customWidth="1"/>
    <col min="3" max="3" width="17.54296875" bestFit="1" customWidth="1"/>
    <col min="4" max="4" width="13.7265625" customWidth="1"/>
    <col min="5" max="5" width="8.54296875" customWidth="1"/>
    <col min="6" max="6" width="15.54296875" bestFit="1" customWidth="1"/>
    <col min="7" max="7" width="9.54296875" customWidth="1"/>
    <col min="8" max="8" width="16.7265625" customWidth="1"/>
    <col min="9" max="9" width="18.54296875" customWidth="1"/>
  </cols>
  <sheetData>
    <row r="1" spans="1:9" ht="17.5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 t="s">
        <v>8</v>
      </c>
    </row>
    <row r="2" spans="1:9" ht="24.75" customHeight="1">
      <c r="A2" t="s">
        <v>9</v>
      </c>
      <c r="B2" t="s">
        <v>1</v>
      </c>
      <c r="C2" s="1" t="s">
        <v>10</v>
      </c>
      <c r="D2" s="3">
        <v>45610</v>
      </c>
      <c r="E2">
        <v>46</v>
      </c>
      <c r="F2" s="4" t="s">
        <v>11</v>
      </c>
      <c r="G2" s="4" t="s">
        <v>12</v>
      </c>
      <c r="H2" s="4" t="s">
        <v>13</v>
      </c>
      <c r="I2" s="6" t="s">
        <v>14</v>
      </c>
    </row>
  </sheetData>
  <dataValidations count="1">
    <dataValidation type="list" allowBlank="1" showInputMessage="1" showErrorMessage="1" sqref="F2" xr:uid="{AF1DBB84-4123-4A19-9177-F7A043A93CFD}">
      <formula1>"Other,Americas (A),Fibers (F),Green Flake (G),Green Pellet (P),Legacy (L),Monomers (M),Resins (R),R&amp;D (V),Specialty (S),Thermorform (T)"</formula1>
    </dataValidation>
  </dataValidations>
  <pageMargins left="0.511811024" right="0.511811024" top="0.78740157499999996" bottom="0.78740157499999996" header="0.31496062000000002" footer="0.31496062000000002"/>
  <headerFooter>
    <oddFooter>&amp;L_x000D_&amp;1#&amp;"Calibri"&amp;10&amp;K000000 Public Information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BCB8B-9B86-4BF5-A9C3-3D1A4ED332C3}">
  <sheetPr>
    <tabColor theme="6" tint="0.39997558519241921"/>
  </sheetPr>
  <dimension ref="A1:B6"/>
  <sheetViews>
    <sheetView workbookViewId="0">
      <selection activeCell="E15" sqref="E15"/>
    </sheetView>
  </sheetViews>
  <sheetFormatPr defaultRowHeight="14.5"/>
  <cols>
    <col min="1" max="1" width="16.1796875" customWidth="1"/>
    <col min="2" max="2" width="24.54296875" customWidth="1"/>
  </cols>
  <sheetData>
    <row r="1" spans="1:2">
      <c r="A1" t="s">
        <v>6</v>
      </c>
      <c r="B1" t="s">
        <v>15</v>
      </c>
    </row>
    <row r="2" spans="1:2">
      <c r="A2" t="s">
        <v>16</v>
      </c>
      <c r="B2" s="1" t="s">
        <v>10</v>
      </c>
    </row>
    <row r="3" spans="1:2">
      <c r="A3" s="12" t="s">
        <v>17</v>
      </c>
      <c r="B3" s="1" t="s">
        <v>18</v>
      </c>
    </row>
    <row r="4" spans="1:2">
      <c r="A4" t="s">
        <v>19</v>
      </c>
      <c r="B4" s="1" t="s">
        <v>20</v>
      </c>
    </row>
    <row r="5" spans="1:2">
      <c r="A5" s="12" t="s">
        <v>21</v>
      </c>
      <c r="B5" s="1" t="s">
        <v>22</v>
      </c>
    </row>
    <row r="6" spans="1:2">
      <c r="A6" t="s">
        <v>23</v>
      </c>
      <c r="B6" s="1" t="s">
        <v>24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16A98-6292-4DA9-BB09-285B7D23C140}">
  <dimension ref="A1:G52"/>
  <sheetViews>
    <sheetView zoomScale="85" zoomScaleNormal="85" workbookViewId="0">
      <selection activeCell="D18" sqref="D18"/>
    </sheetView>
  </sheetViews>
  <sheetFormatPr defaultRowHeight="14.5"/>
  <cols>
    <col min="1" max="1" width="19.54296875" customWidth="1"/>
    <col min="2" max="2" width="22.54296875" customWidth="1"/>
    <col min="3" max="3" width="17.453125" customWidth="1"/>
    <col min="4" max="4" width="20" customWidth="1"/>
    <col min="6" max="6" width="27" customWidth="1"/>
  </cols>
  <sheetData>
    <row r="1" spans="1:7">
      <c r="A1" t="s">
        <v>6</v>
      </c>
      <c r="B1" t="s">
        <v>15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</row>
    <row r="2" spans="1:7">
      <c r="A2" t="s">
        <v>16</v>
      </c>
      <c r="B2" s="1" t="s">
        <v>10</v>
      </c>
      <c r="C2" t="s">
        <v>30</v>
      </c>
      <c r="D2" s="7">
        <v>1</v>
      </c>
      <c r="E2">
        <v>1</v>
      </c>
      <c r="F2" t="s">
        <v>31</v>
      </c>
      <c r="G2" s="22" t="s">
        <v>32</v>
      </c>
    </row>
    <row r="3" spans="1:7">
      <c r="A3" t="s">
        <v>16</v>
      </c>
      <c r="B3" s="1" t="s">
        <v>10</v>
      </c>
      <c r="C3" t="s">
        <v>33</v>
      </c>
      <c r="D3" s="7">
        <v>1</v>
      </c>
      <c r="E3">
        <v>2</v>
      </c>
      <c r="F3" t="s">
        <v>31</v>
      </c>
      <c r="G3" s="22" t="s">
        <v>32</v>
      </c>
    </row>
    <row r="4" spans="1:7">
      <c r="A4" t="s">
        <v>16</v>
      </c>
      <c r="B4" s="1" t="s">
        <v>10</v>
      </c>
      <c r="C4" t="s">
        <v>34</v>
      </c>
      <c r="D4" s="7">
        <v>1</v>
      </c>
      <c r="E4">
        <v>3</v>
      </c>
      <c r="F4" t="s">
        <v>31</v>
      </c>
      <c r="G4" s="22" t="s">
        <v>32</v>
      </c>
    </row>
    <row r="5" spans="1:7">
      <c r="A5" t="s">
        <v>16</v>
      </c>
      <c r="B5" s="1" t="s">
        <v>10</v>
      </c>
      <c r="C5" t="s">
        <v>35</v>
      </c>
      <c r="D5" s="7">
        <v>1</v>
      </c>
      <c r="E5">
        <v>4</v>
      </c>
      <c r="F5" t="s">
        <v>31</v>
      </c>
      <c r="G5" s="22" t="s">
        <v>32</v>
      </c>
    </row>
    <row r="6" spans="1:7">
      <c r="A6" t="s">
        <v>16</v>
      </c>
      <c r="B6" s="1" t="s">
        <v>10</v>
      </c>
      <c r="C6" t="s">
        <v>36</v>
      </c>
      <c r="D6" s="7">
        <v>1</v>
      </c>
      <c r="E6">
        <v>5</v>
      </c>
      <c r="F6" t="s">
        <v>31</v>
      </c>
      <c r="G6" s="22" t="s">
        <v>32</v>
      </c>
    </row>
    <row r="7" spans="1:7">
      <c r="A7" s="12" t="s">
        <v>17</v>
      </c>
      <c r="B7" s="1" t="s">
        <v>18</v>
      </c>
      <c r="C7" t="s">
        <v>30</v>
      </c>
      <c r="D7" s="7">
        <v>1</v>
      </c>
      <c r="E7">
        <v>6</v>
      </c>
      <c r="F7" t="s">
        <v>31</v>
      </c>
      <c r="G7" s="22" t="s">
        <v>32</v>
      </c>
    </row>
    <row r="8" spans="1:7">
      <c r="A8" s="12" t="s">
        <v>17</v>
      </c>
      <c r="B8" s="1" t="s">
        <v>18</v>
      </c>
      <c r="C8" t="s">
        <v>33</v>
      </c>
      <c r="D8" s="7">
        <v>1</v>
      </c>
      <c r="E8">
        <v>7</v>
      </c>
      <c r="F8" t="s">
        <v>31</v>
      </c>
      <c r="G8" s="22" t="s">
        <v>32</v>
      </c>
    </row>
    <row r="9" spans="1:7">
      <c r="A9" s="12" t="s">
        <v>17</v>
      </c>
      <c r="B9" s="1" t="s">
        <v>18</v>
      </c>
      <c r="C9" t="s">
        <v>34</v>
      </c>
      <c r="D9" s="7">
        <v>1</v>
      </c>
      <c r="E9">
        <v>8</v>
      </c>
      <c r="F9" t="s">
        <v>31</v>
      </c>
      <c r="G9" s="22" t="s">
        <v>32</v>
      </c>
    </row>
    <row r="10" spans="1:7">
      <c r="A10" s="12" t="s">
        <v>17</v>
      </c>
      <c r="B10" s="1" t="s">
        <v>18</v>
      </c>
      <c r="C10" t="s">
        <v>35</v>
      </c>
      <c r="D10" s="7">
        <v>1</v>
      </c>
      <c r="E10">
        <v>9</v>
      </c>
      <c r="F10" t="s">
        <v>31</v>
      </c>
      <c r="G10" s="22" t="s">
        <v>32</v>
      </c>
    </row>
    <row r="11" spans="1:7">
      <c r="A11" s="12" t="s">
        <v>17</v>
      </c>
      <c r="B11" s="1" t="s">
        <v>18</v>
      </c>
      <c r="C11" t="s">
        <v>36</v>
      </c>
      <c r="D11" s="7">
        <v>1</v>
      </c>
      <c r="E11">
        <v>10</v>
      </c>
      <c r="F11" t="s">
        <v>31</v>
      </c>
      <c r="G11" s="22" t="s">
        <v>32</v>
      </c>
    </row>
    <row r="12" spans="1:7">
      <c r="A12" t="s">
        <v>19</v>
      </c>
      <c r="B12" s="1" t="s">
        <v>20</v>
      </c>
      <c r="C12" t="s">
        <v>30</v>
      </c>
      <c r="D12" s="7">
        <v>1</v>
      </c>
      <c r="E12">
        <v>11</v>
      </c>
      <c r="F12" t="s">
        <v>31</v>
      </c>
      <c r="G12" s="22" t="s">
        <v>32</v>
      </c>
    </row>
    <row r="13" spans="1:7">
      <c r="A13" t="s">
        <v>19</v>
      </c>
      <c r="B13" s="1" t="s">
        <v>20</v>
      </c>
      <c r="C13" t="s">
        <v>33</v>
      </c>
      <c r="D13" s="7">
        <v>1</v>
      </c>
      <c r="E13">
        <v>12</v>
      </c>
      <c r="F13" t="s">
        <v>31</v>
      </c>
      <c r="G13" s="22" t="s">
        <v>32</v>
      </c>
    </row>
    <row r="14" spans="1:7">
      <c r="A14" t="s">
        <v>19</v>
      </c>
      <c r="B14" s="1" t="s">
        <v>20</v>
      </c>
      <c r="C14" t="s">
        <v>34</v>
      </c>
      <c r="D14" s="7">
        <v>1</v>
      </c>
      <c r="E14">
        <v>13</v>
      </c>
      <c r="F14" t="s">
        <v>31</v>
      </c>
      <c r="G14" s="22" t="s">
        <v>32</v>
      </c>
    </row>
    <row r="15" spans="1:7">
      <c r="A15" t="s">
        <v>19</v>
      </c>
      <c r="B15" s="1" t="s">
        <v>20</v>
      </c>
      <c r="C15" t="s">
        <v>35</v>
      </c>
      <c r="D15" s="7">
        <v>1</v>
      </c>
      <c r="E15">
        <v>14</v>
      </c>
      <c r="F15" t="s">
        <v>31</v>
      </c>
      <c r="G15" s="22" t="s">
        <v>32</v>
      </c>
    </row>
    <row r="16" spans="1:7">
      <c r="A16" t="s">
        <v>19</v>
      </c>
      <c r="B16" s="1" t="s">
        <v>20</v>
      </c>
      <c r="C16" t="s">
        <v>36</v>
      </c>
      <c r="D16" s="7">
        <v>1</v>
      </c>
      <c r="E16">
        <v>15</v>
      </c>
      <c r="F16" t="s">
        <v>31</v>
      </c>
      <c r="G16" s="22" t="s">
        <v>32</v>
      </c>
    </row>
    <row r="17" spans="1:7">
      <c r="A17" s="12" t="s">
        <v>21</v>
      </c>
      <c r="B17" s="1" t="s">
        <v>22</v>
      </c>
      <c r="C17" t="s">
        <v>30</v>
      </c>
      <c r="D17" s="7">
        <v>1</v>
      </c>
      <c r="E17">
        <v>16</v>
      </c>
      <c r="F17" t="s">
        <v>31</v>
      </c>
      <c r="G17" s="22" t="s">
        <v>32</v>
      </c>
    </row>
    <row r="18" spans="1:7">
      <c r="A18" s="12" t="s">
        <v>21</v>
      </c>
      <c r="B18" s="1" t="s">
        <v>22</v>
      </c>
      <c r="C18" t="s">
        <v>33</v>
      </c>
      <c r="D18" s="7">
        <v>1</v>
      </c>
      <c r="E18">
        <v>17</v>
      </c>
      <c r="F18" t="s">
        <v>31</v>
      </c>
      <c r="G18" s="22" t="s">
        <v>32</v>
      </c>
    </row>
    <row r="19" spans="1:7">
      <c r="A19" s="12" t="s">
        <v>21</v>
      </c>
      <c r="B19" s="1" t="s">
        <v>22</v>
      </c>
      <c r="C19" t="s">
        <v>34</v>
      </c>
      <c r="D19" s="7">
        <v>1</v>
      </c>
      <c r="E19">
        <v>18</v>
      </c>
      <c r="F19" t="s">
        <v>31</v>
      </c>
      <c r="G19" s="22" t="s">
        <v>32</v>
      </c>
    </row>
    <row r="20" spans="1:7">
      <c r="A20" s="12" t="s">
        <v>21</v>
      </c>
      <c r="B20" s="1" t="s">
        <v>22</v>
      </c>
      <c r="C20" t="s">
        <v>35</v>
      </c>
      <c r="D20" s="7">
        <v>1</v>
      </c>
      <c r="E20">
        <v>19</v>
      </c>
      <c r="F20" t="s">
        <v>31</v>
      </c>
      <c r="G20" s="22" t="s">
        <v>32</v>
      </c>
    </row>
    <row r="21" spans="1:7">
      <c r="A21" s="12" t="s">
        <v>21</v>
      </c>
      <c r="B21" s="1" t="s">
        <v>22</v>
      </c>
      <c r="C21" t="s">
        <v>36</v>
      </c>
      <c r="D21" s="7">
        <v>1</v>
      </c>
      <c r="E21">
        <v>20</v>
      </c>
      <c r="F21" t="s">
        <v>31</v>
      </c>
      <c r="G21" s="22" t="s">
        <v>32</v>
      </c>
    </row>
    <row r="22" spans="1:7">
      <c r="A22" s="1" t="s">
        <v>23</v>
      </c>
      <c r="B22" s="1" t="s">
        <v>24</v>
      </c>
      <c r="C22" t="s">
        <v>30</v>
      </c>
      <c r="D22" s="7">
        <v>1</v>
      </c>
      <c r="E22">
        <v>21</v>
      </c>
      <c r="F22" t="s">
        <v>31</v>
      </c>
      <c r="G22" s="22" t="s">
        <v>32</v>
      </c>
    </row>
    <row r="23" spans="1:7">
      <c r="A23" s="1" t="s">
        <v>23</v>
      </c>
      <c r="B23" s="1" t="s">
        <v>24</v>
      </c>
      <c r="C23" t="s">
        <v>33</v>
      </c>
      <c r="D23" s="7">
        <v>1</v>
      </c>
      <c r="E23">
        <v>22</v>
      </c>
      <c r="F23" t="s">
        <v>31</v>
      </c>
      <c r="G23" s="22" t="s">
        <v>32</v>
      </c>
    </row>
    <row r="24" spans="1:7">
      <c r="A24" s="1" t="s">
        <v>23</v>
      </c>
      <c r="B24" s="1" t="s">
        <v>24</v>
      </c>
      <c r="C24" t="s">
        <v>34</v>
      </c>
      <c r="D24" s="7">
        <v>1</v>
      </c>
      <c r="E24">
        <v>23</v>
      </c>
      <c r="F24" t="s">
        <v>31</v>
      </c>
      <c r="G24" s="22" t="s">
        <v>32</v>
      </c>
    </row>
    <row r="25" spans="1:7">
      <c r="A25" s="1" t="s">
        <v>23</v>
      </c>
      <c r="B25" s="1" t="s">
        <v>24</v>
      </c>
      <c r="C25" t="s">
        <v>35</v>
      </c>
      <c r="D25" s="7">
        <v>1</v>
      </c>
      <c r="E25">
        <v>24</v>
      </c>
      <c r="F25" t="s">
        <v>31</v>
      </c>
      <c r="G25" s="22" t="s">
        <v>32</v>
      </c>
    </row>
    <row r="26" spans="1:7">
      <c r="A26" s="1" t="s">
        <v>23</v>
      </c>
      <c r="B26" s="1" t="s">
        <v>24</v>
      </c>
      <c r="C26" t="s">
        <v>36</v>
      </c>
      <c r="D26" s="7">
        <v>1</v>
      </c>
      <c r="E26">
        <v>25</v>
      </c>
      <c r="F26" t="s">
        <v>31</v>
      </c>
      <c r="G26" s="22" t="s">
        <v>32</v>
      </c>
    </row>
    <row r="27" spans="1:7">
      <c r="A27" s="76"/>
      <c r="B27" s="72"/>
      <c r="C27" s="55"/>
      <c r="D27" s="77"/>
      <c r="E27">
        <v>26</v>
      </c>
      <c r="F27" s="55"/>
      <c r="G27" s="78"/>
    </row>
    <row r="28" spans="1:7">
      <c r="A28" t="str">
        <f t="shared" ref="A28:A52" si="0">A2</f>
        <v>PSX25001</v>
      </c>
      <c r="B28" s="73" t="str">
        <f t="shared" ref="B28:C52" si="1">_xlfn.TRANSLATE(B2,"pt","en")</f>
        <v>SUAPEK X Program</v>
      </c>
      <c r="C28" s="66" t="str">
        <f>_xlfn.TRANSLATE(C2,"pt","en")</f>
        <v>Security</v>
      </c>
      <c r="D28" s="75">
        <f t="shared" ref="D28:D52" si="2">D2</f>
        <v>1</v>
      </c>
      <c r="E28">
        <v>27</v>
      </c>
      <c r="F28" s="66" t="str">
        <f t="shared" ref="F28:F52" si="3">_xlfn.TRANSLATE(F2,"pt","en")</f>
        <v>The bigger the better</v>
      </c>
      <c r="G28" s="46" t="s">
        <v>37</v>
      </c>
    </row>
    <row r="29" spans="1:7">
      <c r="A29" t="str">
        <f t="shared" si="0"/>
        <v>PSX25001</v>
      </c>
      <c r="B29" s="73" t="str">
        <f t="shared" si="1"/>
        <v>SUAPEK X Program</v>
      </c>
      <c r="C29" s="66" t="str">
        <f t="shared" si="1"/>
        <v>Costs</v>
      </c>
      <c r="D29" s="75">
        <f t="shared" si="2"/>
        <v>1</v>
      </c>
      <c r="E29">
        <v>28</v>
      </c>
      <c r="F29" s="66" t="str">
        <f t="shared" si="3"/>
        <v>The bigger the better</v>
      </c>
      <c r="G29" s="46" t="s">
        <v>37</v>
      </c>
    </row>
    <row r="30" spans="1:7">
      <c r="A30" t="str">
        <f t="shared" si="0"/>
        <v>PSX25001</v>
      </c>
      <c r="B30" s="73" t="str">
        <f t="shared" si="1"/>
        <v>SUAPEK X Program</v>
      </c>
      <c r="C30" s="66" t="str">
        <f t="shared" si="1"/>
        <v>Deadline</v>
      </c>
      <c r="D30" s="75">
        <f t="shared" si="2"/>
        <v>1</v>
      </c>
      <c r="E30">
        <v>29</v>
      </c>
      <c r="F30" s="66" t="str">
        <f t="shared" si="3"/>
        <v>The bigger the better</v>
      </c>
      <c r="G30" s="46" t="s">
        <v>37</v>
      </c>
    </row>
    <row r="31" spans="1:7">
      <c r="A31" t="str">
        <f t="shared" si="0"/>
        <v>PSX25001</v>
      </c>
      <c r="B31" s="73" t="str">
        <f t="shared" si="1"/>
        <v>SUAPEK X Program</v>
      </c>
      <c r="C31" s="66" t="str">
        <f t="shared" si="1"/>
        <v>Risk</v>
      </c>
      <c r="D31" s="75">
        <f t="shared" si="2"/>
        <v>1</v>
      </c>
      <c r="E31">
        <v>30</v>
      </c>
      <c r="F31" s="66" t="str">
        <f t="shared" si="3"/>
        <v>The bigger the better</v>
      </c>
      <c r="G31" s="46" t="s">
        <v>37</v>
      </c>
    </row>
    <row r="32" spans="1:7">
      <c r="A32" t="str">
        <f t="shared" si="0"/>
        <v>PSX25001</v>
      </c>
      <c r="B32" s="73" t="str">
        <f t="shared" si="1"/>
        <v>SUAPEK X Program</v>
      </c>
      <c r="C32" s="66" t="str">
        <f t="shared" si="1"/>
        <v>Scope</v>
      </c>
      <c r="D32" s="75">
        <f t="shared" si="2"/>
        <v>1</v>
      </c>
      <c r="E32">
        <v>31</v>
      </c>
      <c r="F32" s="66" t="str">
        <f t="shared" si="3"/>
        <v>The bigger the better</v>
      </c>
      <c r="G32" s="46" t="s">
        <v>37</v>
      </c>
    </row>
    <row r="33" spans="1:7">
      <c r="A33" t="str">
        <f t="shared" si="0"/>
        <v>SUAP225002</v>
      </c>
      <c r="B33" s="73" t="str">
        <f t="shared" si="1"/>
        <v>SUAPEK 2</v>
      </c>
      <c r="C33" s="66" t="str">
        <f t="shared" si="1"/>
        <v>Security</v>
      </c>
      <c r="D33" s="75">
        <f t="shared" si="2"/>
        <v>1</v>
      </c>
      <c r="E33">
        <v>32</v>
      </c>
      <c r="F33" s="66" t="str">
        <f t="shared" si="3"/>
        <v>The bigger the better</v>
      </c>
      <c r="G33" s="46" t="s">
        <v>37</v>
      </c>
    </row>
    <row r="34" spans="1:7">
      <c r="A34" t="str">
        <f t="shared" si="0"/>
        <v>SUAP225002</v>
      </c>
      <c r="B34" s="73" t="str">
        <f t="shared" si="1"/>
        <v>SUAPEK 2</v>
      </c>
      <c r="C34" s="66" t="str">
        <f t="shared" si="1"/>
        <v>Costs</v>
      </c>
      <c r="D34" s="75">
        <f t="shared" si="2"/>
        <v>1</v>
      </c>
      <c r="E34">
        <v>33</v>
      </c>
      <c r="F34" s="66" t="str">
        <f t="shared" si="3"/>
        <v>The bigger the better</v>
      </c>
      <c r="G34" s="46" t="s">
        <v>37</v>
      </c>
    </row>
    <row r="35" spans="1:7">
      <c r="A35" t="str">
        <f t="shared" si="0"/>
        <v>SUAP225002</v>
      </c>
      <c r="B35" s="73" t="str">
        <f t="shared" si="1"/>
        <v>SUAPEK 2</v>
      </c>
      <c r="C35" s="66" t="str">
        <f t="shared" si="1"/>
        <v>Deadline</v>
      </c>
      <c r="D35" s="75">
        <f t="shared" si="2"/>
        <v>1</v>
      </c>
      <c r="E35">
        <v>34</v>
      </c>
      <c r="F35" s="66" t="str">
        <f t="shared" si="3"/>
        <v>The bigger the better</v>
      </c>
      <c r="G35" s="46" t="s">
        <v>37</v>
      </c>
    </row>
    <row r="36" spans="1:7">
      <c r="A36" t="str">
        <f t="shared" si="0"/>
        <v>SUAP225002</v>
      </c>
      <c r="B36" s="73" t="str">
        <f t="shared" si="1"/>
        <v>SUAPEK 2</v>
      </c>
      <c r="C36" s="66" t="str">
        <f t="shared" si="1"/>
        <v>Risk</v>
      </c>
      <c r="D36" s="75">
        <f t="shared" si="2"/>
        <v>1</v>
      </c>
      <c r="E36">
        <v>35</v>
      </c>
      <c r="F36" s="66" t="str">
        <f t="shared" si="3"/>
        <v>The bigger the better</v>
      </c>
      <c r="G36" s="46" t="s">
        <v>37</v>
      </c>
    </row>
    <row r="37" spans="1:7">
      <c r="A37" t="str">
        <f t="shared" si="0"/>
        <v>SUAP225002</v>
      </c>
      <c r="B37" s="73" t="str">
        <f t="shared" si="1"/>
        <v>SUAPEK 2</v>
      </c>
      <c r="C37" s="66" t="str">
        <f t="shared" si="1"/>
        <v>Scope</v>
      </c>
      <c r="D37" s="75">
        <f t="shared" si="2"/>
        <v>1</v>
      </c>
      <c r="E37">
        <v>36</v>
      </c>
      <c r="F37" s="66" t="str">
        <f t="shared" si="3"/>
        <v>The bigger the better</v>
      </c>
      <c r="G37" s="46" t="s">
        <v>37</v>
      </c>
    </row>
    <row r="38" spans="1:7">
      <c r="A38" t="str">
        <f t="shared" si="0"/>
        <v>INTR25003</v>
      </c>
      <c r="B38" s="73" t="str">
        <f t="shared" si="1"/>
        <v>Reactor Internals</v>
      </c>
      <c r="C38" s="66" t="str">
        <f t="shared" si="1"/>
        <v>Security</v>
      </c>
      <c r="D38" s="75">
        <f t="shared" si="2"/>
        <v>1</v>
      </c>
      <c r="E38">
        <v>37</v>
      </c>
      <c r="F38" s="66" t="str">
        <f t="shared" si="3"/>
        <v>The bigger the better</v>
      </c>
      <c r="G38" s="46" t="s">
        <v>37</v>
      </c>
    </row>
    <row r="39" spans="1:7">
      <c r="A39" t="str">
        <f t="shared" si="0"/>
        <v>INTR25003</v>
      </c>
      <c r="B39" s="73" t="str">
        <f t="shared" si="1"/>
        <v>Reactor Internals</v>
      </c>
      <c r="C39" s="66" t="str">
        <f t="shared" si="1"/>
        <v>Costs</v>
      </c>
      <c r="D39" s="75">
        <f t="shared" si="2"/>
        <v>1</v>
      </c>
      <c r="E39">
        <v>38</v>
      </c>
      <c r="F39" s="66" t="str">
        <f t="shared" si="3"/>
        <v>The bigger the better</v>
      </c>
      <c r="G39" s="46" t="s">
        <v>37</v>
      </c>
    </row>
    <row r="40" spans="1:7">
      <c r="A40" t="str">
        <f t="shared" si="0"/>
        <v>INTR25003</v>
      </c>
      <c r="B40" s="73" t="str">
        <f t="shared" si="1"/>
        <v>Reactor Internals</v>
      </c>
      <c r="C40" s="66" t="str">
        <f t="shared" si="1"/>
        <v>Deadline</v>
      </c>
      <c r="D40" s="75">
        <f t="shared" si="2"/>
        <v>1</v>
      </c>
      <c r="E40">
        <v>39</v>
      </c>
      <c r="F40" s="66" t="str">
        <f t="shared" si="3"/>
        <v>The bigger the better</v>
      </c>
      <c r="G40" s="46" t="s">
        <v>37</v>
      </c>
    </row>
    <row r="41" spans="1:7">
      <c r="A41" t="str">
        <f t="shared" si="0"/>
        <v>INTR25003</v>
      </c>
      <c r="B41" s="73" t="str">
        <f t="shared" si="1"/>
        <v>Reactor Internals</v>
      </c>
      <c r="C41" s="66" t="str">
        <f t="shared" si="1"/>
        <v>Risk</v>
      </c>
      <c r="D41" s="75">
        <f t="shared" si="2"/>
        <v>1</v>
      </c>
      <c r="E41">
        <v>40</v>
      </c>
      <c r="F41" s="66" t="str">
        <f t="shared" si="3"/>
        <v>The bigger the better</v>
      </c>
      <c r="G41" s="46" t="s">
        <v>37</v>
      </c>
    </row>
    <row r="42" spans="1:7">
      <c r="A42" t="str">
        <f t="shared" si="0"/>
        <v>INTR25003</v>
      </c>
      <c r="B42" s="73" t="str">
        <f t="shared" si="1"/>
        <v>Reactor Internals</v>
      </c>
      <c r="C42" s="66" t="str">
        <f t="shared" si="1"/>
        <v>Scope</v>
      </c>
      <c r="D42" s="75">
        <f t="shared" si="2"/>
        <v>1</v>
      </c>
      <c r="E42">
        <v>41</v>
      </c>
      <c r="F42" s="66" t="str">
        <f t="shared" si="3"/>
        <v>The bigger the better</v>
      </c>
      <c r="G42" s="46" t="s">
        <v>37</v>
      </c>
    </row>
    <row r="43" spans="1:7">
      <c r="A43" t="str">
        <f t="shared" si="0"/>
        <v>LM.CRU25004</v>
      </c>
      <c r="B43" s="73" t="str">
        <f t="shared" si="1"/>
        <v>LM/CRU</v>
      </c>
      <c r="C43" s="66" t="str">
        <f t="shared" si="1"/>
        <v>Security</v>
      </c>
      <c r="D43" s="75">
        <f t="shared" si="2"/>
        <v>1</v>
      </c>
      <c r="E43">
        <v>42</v>
      </c>
      <c r="F43" s="66" t="str">
        <f t="shared" si="3"/>
        <v>The bigger the better</v>
      </c>
      <c r="G43" s="46" t="s">
        <v>37</v>
      </c>
    </row>
    <row r="44" spans="1:7">
      <c r="A44" t="str">
        <f t="shared" si="0"/>
        <v>LM.CRU25004</v>
      </c>
      <c r="B44" s="73" t="str">
        <f t="shared" si="1"/>
        <v>LM/CRU</v>
      </c>
      <c r="C44" s="66" t="str">
        <f t="shared" si="1"/>
        <v>Costs</v>
      </c>
      <c r="D44" s="75">
        <f t="shared" si="2"/>
        <v>1</v>
      </c>
      <c r="E44">
        <v>43</v>
      </c>
      <c r="F44" s="66" t="str">
        <f t="shared" si="3"/>
        <v>The bigger the better</v>
      </c>
      <c r="G44" s="46" t="s">
        <v>37</v>
      </c>
    </row>
    <row r="45" spans="1:7">
      <c r="A45" t="str">
        <f t="shared" si="0"/>
        <v>LM.CRU25004</v>
      </c>
      <c r="B45" s="73" t="str">
        <f t="shared" si="1"/>
        <v>LM/CRU</v>
      </c>
      <c r="C45" s="66" t="str">
        <f t="shared" si="1"/>
        <v>Deadline</v>
      </c>
      <c r="D45" s="75">
        <f t="shared" si="2"/>
        <v>1</v>
      </c>
      <c r="E45">
        <v>44</v>
      </c>
      <c r="F45" s="66" t="str">
        <f t="shared" si="3"/>
        <v>The bigger the better</v>
      </c>
      <c r="G45" s="46" t="s">
        <v>37</v>
      </c>
    </row>
    <row r="46" spans="1:7">
      <c r="A46" t="str">
        <f t="shared" si="0"/>
        <v>LM.CRU25004</v>
      </c>
      <c r="B46" s="73" t="str">
        <f t="shared" si="1"/>
        <v>LM/CRU</v>
      </c>
      <c r="C46" s="66" t="str">
        <f t="shared" si="1"/>
        <v>Risk</v>
      </c>
      <c r="D46" s="75">
        <f t="shared" si="2"/>
        <v>1</v>
      </c>
      <c r="E46">
        <v>45</v>
      </c>
      <c r="F46" s="66" t="str">
        <f t="shared" si="3"/>
        <v>The bigger the better</v>
      </c>
      <c r="G46" s="46" t="s">
        <v>37</v>
      </c>
    </row>
    <row r="47" spans="1:7">
      <c r="A47" t="str">
        <f t="shared" si="0"/>
        <v>LM.CRU25004</v>
      </c>
      <c r="B47" s="73" t="str">
        <f t="shared" si="1"/>
        <v>LM/CRU</v>
      </c>
      <c r="C47" s="66" t="str">
        <f t="shared" si="1"/>
        <v>Scope</v>
      </c>
      <c r="D47" s="75">
        <f t="shared" si="2"/>
        <v>1</v>
      </c>
      <c r="E47">
        <v>46</v>
      </c>
      <c r="F47" s="66" t="str">
        <f t="shared" si="3"/>
        <v>The bigger the better</v>
      </c>
      <c r="G47" s="46" t="s">
        <v>37</v>
      </c>
    </row>
    <row r="48" spans="1:7">
      <c r="A48" t="str">
        <f t="shared" si="0"/>
        <v>GASF25005</v>
      </c>
      <c r="B48" s="73" t="str">
        <f t="shared" si="1"/>
        <v>Gasfoil and Lantern</v>
      </c>
      <c r="C48" s="66" t="str">
        <f t="shared" si="1"/>
        <v>Security</v>
      </c>
      <c r="D48" s="75">
        <f t="shared" si="2"/>
        <v>1</v>
      </c>
      <c r="E48">
        <v>47</v>
      </c>
      <c r="F48" s="66" t="str">
        <f t="shared" si="3"/>
        <v>The bigger the better</v>
      </c>
      <c r="G48" s="46" t="s">
        <v>37</v>
      </c>
    </row>
    <row r="49" spans="1:7">
      <c r="A49" t="str">
        <f t="shared" si="0"/>
        <v>GASF25005</v>
      </c>
      <c r="B49" s="73" t="str">
        <f t="shared" si="1"/>
        <v>Gasfoil and Lantern</v>
      </c>
      <c r="C49" s="66" t="str">
        <f t="shared" si="1"/>
        <v>Costs</v>
      </c>
      <c r="D49" s="75">
        <f t="shared" si="2"/>
        <v>1</v>
      </c>
      <c r="E49">
        <v>48</v>
      </c>
      <c r="F49" s="66" t="str">
        <f t="shared" si="3"/>
        <v>The bigger the better</v>
      </c>
      <c r="G49" s="46" t="s">
        <v>37</v>
      </c>
    </row>
    <row r="50" spans="1:7">
      <c r="A50" t="str">
        <f t="shared" si="0"/>
        <v>GASF25005</v>
      </c>
      <c r="B50" s="73" t="str">
        <f t="shared" si="1"/>
        <v>Gasfoil and Lantern</v>
      </c>
      <c r="C50" s="66" t="str">
        <f t="shared" si="1"/>
        <v>Deadline</v>
      </c>
      <c r="D50" s="75">
        <f t="shared" si="2"/>
        <v>1</v>
      </c>
      <c r="E50">
        <v>49</v>
      </c>
      <c r="F50" s="66" t="str">
        <f t="shared" si="3"/>
        <v>The bigger the better</v>
      </c>
      <c r="G50" s="46" t="s">
        <v>37</v>
      </c>
    </row>
    <row r="51" spans="1:7">
      <c r="A51" t="str">
        <f t="shared" si="0"/>
        <v>GASF25005</v>
      </c>
      <c r="B51" s="73" t="str">
        <f t="shared" si="1"/>
        <v>Gasfoil and Lantern</v>
      </c>
      <c r="C51" s="66" t="str">
        <f t="shared" si="1"/>
        <v>Risk</v>
      </c>
      <c r="D51" s="75">
        <f t="shared" si="2"/>
        <v>1</v>
      </c>
      <c r="E51">
        <v>50</v>
      </c>
      <c r="F51" s="66" t="str">
        <f t="shared" si="3"/>
        <v>The bigger the better</v>
      </c>
      <c r="G51" s="46" t="s">
        <v>37</v>
      </c>
    </row>
    <row r="52" spans="1:7">
      <c r="A52" t="str">
        <f t="shared" si="0"/>
        <v>GASF25005</v>
      </c>
      <c r="B52" s="73" t="str">
        <f t="shared" si="1"/>
        <v>Gasfoil and Lantern</v>
      </c>
      <c r="C52" s="66" t="str">
        <f t="shared" si="1"/>
        <v>Scope</v>
      </c>
      <c r="D52" s="75">
        <f t="shared" si="2"/>
        <v>1</v>
      </c>
      <c r="E52">
        <v>51</v>
      </c>
      <c r="F52" s="66" t="str">
        <f t="shared" si="3"/>
        <v>The bigger the better</v>
      </c>
      <c r="G52" s="46" t="s">
        <v>37</v>
      </c>
    </row>
  </sheetData>
  <pageMargins left="0.511811024" right="0.511811024" top="0.78740157499999996" bottom="0.78740157499999996" header="0.31496062000000002" footer="0.31496062000000002"/>
  <headerFooter>
    <oddFooter>&amp;L_x000D_&amp;1#&amp;"Calibri"&amp;10&amp;K000000 Public Information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DDBB-3F7F-4F36-BDB5-59562B82783D}">
  <dimension ref="A1:G43"/>
  <sheetViews>
    <sheetView zoomScale="110" zoomScaleNormal="110" workbookViewId="0">
      <selection activeCell="A2" sqref="A2"/>
    </sheetView>
  </sheetViews>
  <sheetFormatPr defaultRowHeight="14.5"/>
  <cols>
    <col min="1" max="1" width="14.81640625" customWidth="1"/>
    <col min="2" max="2" width="17.81640625" bestFit="1" customWidth="1"/>
    <col min="3" max="3" width="46.453125" bestFit="1" customWidth="1"/>
    <col min="4" max="4" width="21" customWidth="1"/>
    <col min="5" max="5" width="23.1796875" customWidth="1"/>
  </cols>
  <sheetData>
    <row r="1" spans="1:7">
      <c r="A1" t="s">
        <v>6</v>
      </c>
      <c r="B1" t="s">
        <v>15</v>
      </c>
      <c r="C1" t="s">
        <v>38</v>
      </c>
      <c r="D1" t="s">
        <v>39</v>
      </c>
      <c r="E1" t="s">
        <v>40</v>
      </c>
      <c r="F1" t="s">
        <v>27</v>
      </c>
      <c r="G1" t="s">
        <v>29</v>
      </c>
    </row>
    <row r="2" spans="1:7" ht="15.65" customHeight="1">
      <c r="A2" t="s">
        <v>16</v>
      </c>
      <c r="B2" s="1" t="s">
        <v>10</v>
      </c>
      <c r="C2" s="47" t="s">
        <v>41</v>
      </c>
      <c r="D2" s="108">
        <v>0.35211830585981102</v>
      </c>
      <c r="E2" s="108">
        <v>0.35349999999999998</v>
      </c>
      <c r="F2">
        <v>1</v>
      </c>
      <c r="G2" s="22" t="s">
        <v>32</v>
      </c>
    </row>
    <row r="3" spans="1:7">
      <c r="A3" t="s">
        <v>16</v>
      </c>
      <c r="B3" s="1" t="s">
        <v>10</v>
      </c>
      <c r="C3" s="47" t="s">
        <v>42</v>
      </c>
      <c r="D3" s="108">
        <v>0.27582799101688832</v>
      </c>
      <c r="E3" s="108">
        <v>0.27956825491742726</v>
      </c>
      <c r="F3">
        <v>2</v>
      </c>
      <c r="G3" s="22" t="s">
        <v>32</v>
      </c>
    </row>
    <row r="4" spans="1:7">
      <c r="A4" t="s">
        <v>16</v>
      </c>
      <c r="B4" s="1" t="s">
        <v>10</v>
      </c>
      <c r="C4" s="11" t="s">
        <v>163</v>
      </c>
      <c r="D4" s="108">
        <v>0.70834625446743527</v>
      </c>
      <c r="E4" s="108">
        <v>0.71403059564670757</v>
      </c>
      <c r="F4">
        <v>3</v>
      </c>
      <c r="G4" s="22" t="s">
        <v>32</v>
      </c>
    </row>
    <row r="5" spans="1:7">
      <c r="A5" t="s">
        <v>16</v>
      </c>
      <c r="B5" s="1" t="s">
        <v>10</v>
      </c>
      <c r="C5" s="47" t="s">
        <v>43</v>
      </c>
      <c r="D5" s="108">
        <v>0.40266513357442846</v>
      </c>
      <c r="E5" s="108">
        <v>0.4068102992477835</v>
      </c>
      <c r="F5">
        <v>4</v>
      </c>
      <c r="G5" s="22" t="s">
        <v>32</v>
      </c>
    </row>
    <row r="6" spans="1:7">
      <c r="A6" t="s">
        <v>16</v>
      </c>
      <c r="B6" s="1" t="s">
        <v>10</v>
      </c>
      <c r="C6" s="11" t="s">
        <v>162</v>
      </c>
      <c r="D6" s="108">
        <v>0.701161593375214</v>
      </c>
      <c r="E6" s="108">
        <v>0.73720371248395566</v>
      </c>
      <c r="F6">
        <v>5</v>
      </c>
      <c r="G6" s="22" t="s">
        <v>32</v>
      </c>
    </row>
    <row r="7" spans="1:7">
      <c r="A7" t="s">
        <v>16</v>
      </c>
      <c r="B7" s="1" t="s">
        <v>10</v>
      </c>
      <c r="C7" s="47" t="s">
        <v>44</v>
      </c>
      <c r="D7" s="108">
        <v>0.26895147174254319</v>
      </c>
      <c r="E7" s="108">
        <v>0.27263507742543169</v>
      </c>
      <c r="F7">
        <v>6</v>
      </c>
      <c r="G7" s="22" t="s">
        <v>32</v>
      </c>
    </row>
    <row r="8" spans="1:7">
      <c r="A8" t="s">
        <v>16</v>
      </c>
      <c r="B8" s="1" t="s">
        <v>10</v>
      </c>
      <c r="C8" s="11" t="s">
        <v>45</v>
      </c>
      <c r="D8" s="108">
        <v>0.94000607064017638</v>
      </c>
      <c r="E8" s="108">
        <v>0.94745413707726267</v>
      </c>
      <c r="F8">
        <v>7</v>
      </c>
      <c r="G8" s="22" t="s">
        <v>32</v>
      </c>
    </row>
    <row r="9" spans="1:7">
      <c r="A9" t="s">
        <v>16</v>
      </c>
      <c r="B9" s="1" t="s">
        <v>10</v>
      </c>
      <c r="C9" s="85" t="s">
        <v>46</v>
      </c>
      <c r="D9" s="108">
        <v>0.35847568581637868</v>
      </c>
      <c r="E9" s="108">
        <v>0.37007324142519676</v>
      </c>
      <c r="F9">
        <v>8</v>
      </c>
      <c r="G9" s="22" t="s">
        <v>32</v>
      </c>
    </row>
    <row r="10" spans="1:7">
      <c r="A10" t="s">
        <v>16</v>
      </c>
      <c r="B10" s="1" t="s">
        <v>10</v>
      </c>
      <c r="C10" s="85" t="s">
        <v>47</v>
      </c>
      <c r="D10" s="108">
        <v>0.39236396144278612</v>
      </c>
      <c r="E10" s="108">
        <v>0.39630483661691546</v>
      </c>
      <c r="F10">
        <v>9</v>
      </c>
      <c r="G10" s="22" t="s">
        <v>32</v>
      </c>
    </row>
    <row r="11" spans="1:7">
      <c r="A11" t="s">
        <v>17</v>
      </c>
      <c r="B11" s="1" t="s">
        <v>18</v>
      </c>
      <c r="C11" t="s">
        <v>41</v>
      </c>
      <c r="D11" s="89">
        <f>D5</f>
        <v>0.40266513357442846</v>
      </c>
      <c r="E11" s="89">
        <f>E5</f>
        <v>0.4068102992477835</v>
      </c>
      <c r="F11">
        <v>10</v>
      </c>
      <c r="G11" s="22" t="s">
        <v>32</v>
      </c>
    </row>
    <row r="12" spans="1:7">
      <c r="A12" s="129" t="s">
        <v>17</v>
      </c>
      <c r="B12" s="130" t="s">
        <v>18</v>
      </c>
      <c r="C12" s="131" t="s">
        <v>48</v>
      </c>
      <c r="D12" s="108">
        <v>1</v>
      </c>
      <c r="E12" s="108">
        <v>1</v>
      </c>
      <c r="F12">
        <v>11</v>
      </c>
      <c r="G12" s="22" t="s">
        <v>32</v>
      </c>
    </row>
    <row r="13" spans="1:7">
      <c r="A13" t="s">
        <v>17</v>
      </c>
      <c r="B13" s="1" t="s">
        <v>18</v>
      </c>
      <c r="C13" s="50" t="s">
        <v>49</v>
      </c>
      <c r="D13" s="108">
        <v>0.77860504856614254</v>
      </c>
      <c r="E13" s="108">
        <v>0.77989361124884371</v>
      </c>
      <c r="F13">
        <v>12</v>
      </c>
      <c r="G13" s="22" t="s">
        <v>32</v>
      </c>
    </row>
    <row r="14" spans="1:7">
      <c r="A14" t="s">
        <v>17</v>
      </c>
      <c r="B14" s="1" t="s">
        <v>18</v>
      </c>
      <c r="C14" s="11" t="s">
        <v>162</v>
      </c>
      <c r="D14" s="89">
        <f t="shared" ref="D14:E16" si="0">D6</f>
        <v>0.701161593375214</v>
      </c>
      <c r="E14" s="89">
        <f t="shared" si="0"/>
        <v>0.73720371248395566</v>
      </c>
      <c r="F14">
        <v>13</v>
      </c>
      <c r="G14" s="22" t="s">
        <v>32</v>
      </c>
    </row>
    <row r="15" spans="1:7">
      <c r="A15" t="s">
        <v>19</v>
      </c>
      <c r="B15" s="1" t="s">
        <v>20</v>
      </c>
      <c r="C15" t="s">
        <v>41</v>
      </c>
      <c r="D15" s="89">
        <f t="shared" si="0"/>
        <v>0.26895147174254319</v>
      </c>
      <c r="E15" s="89">
        <f t="shared" si="0"/>
        <v>0.27263507742543169</v>
      </c>
      <c r="F15">
        <v>14</v>
      </c>
      <c r="G15" s="22" t="s">
        <v>32</v>
      </c>
    </row>
    <row r="16" spans="1:7">
      <c r="A16" t="s">
        <v>19</v>
      </c>
      <c r="B16" s="1" t="s">
        <v>20</v>
      </c>
      <c r="C16" s="11" t="s">
        <v>49</v>
      </c>
      <c r="D16" s="89">
        <f t="shared" si="0"/>
        <v>0.94000607064017638</v>
      </c>
      <c r="E16" s="89">
        <f t="shared" si="0"/>
        <v>0.94745413707726267</v>
      </c>
      <c r="F16">
        <v>15</v>
      </c>
      <c r="G16" s="22" t="s">
        <v>32</v>
      </c>
    </row>
    <row r="17" spans="1:7">
      <c r="A17" t="s">
        <v>21</v>
      </c>
      <c r="B17" s="1" t="s">
        <v>22</v>
      </c>
      <c r="C17" t="s">
        <v>41</v>
      </c>
      <c r="D17" s="89">
        <f>D3</f>
        <v>0.27582799101688832</v>
      </c>
      <c r="E17" s="89">
        <f>E3</f>
        <v>0.27956825491742726</v>
      </c>
      <c r="F17">
        <v>16</v>
      </c>
      <c r="G17" s="22" t="s">
        <v>32</v>
      </c>
    </row>
    <row r="18" spans="1:7">
      <c r="A18" t="s">
        <v>21</v>
      </c>
      <c r="B18" s="1" t="s">
        <v>22</v>
      </c>
      <c r="C18" s="50" t="s">
        <v>164</v>
      </c>
      <c r="D18" s="108">
        <v>0.96333332444444419</v>
      </c>
      <c r="E18" s="108">
        <v>0.96425936202449003</v>
      </c>
      <c r="F18">
        <v>17</v>
      </c>
      <c r="G18" s="22" t="s">
        <v>32</v>
      </c>
    </row>
    <row r="19" spans="1:7" ht="15.75" customHeight="1">
      <c r="A19" t="s">
        <v>21</v>
      </c>
      <c r="B19" s="1" t="s">
        <v>22</v>
      </c>
      <c r="C19" s="11" t="s">
        <v>163</v>
      </c>
      <c r="D19" s="89">
        <f>D4</f>
        <v>0.70834625446743527</v>
      </c>
      <c r="E19" s="89">
        <f>E4</f>
        <v>0.71403059564670757</v>
      </c>
      <c r="F19">
        <v>18</v>
      </c>
      <c r="G19" s="22" t="s">
        <v>32</v>
      </c>
    </row>
    <row r="20" spans="1:7" ht="15.75" customHeight="1">
      <c r="A20" t="s">
        <v>21</v>
      </c>
      <c r="B20" s="1" t="s">
        <v>22</v>
      </c>
      <c r="C20" s="11" t="s">
        <v>49</v>
      </c>
      <c r="D20" s="108">
        <v>0.55938270285584779</v>
      </c>
      <c r="E20" s="108">
        <v>0.56022513081595648</v>
      </c>
      <c r="F20">
        <v>19</v>
      </c>
      <c r="G20" s="22" t="s">
        <v>32</v>
      </c>
    </row>
    <row r="21" spans="1:7" ht="15.75" customHeight="1">
      <c r="A21" s="1" t="s">
        <v>23</v>
      </c>
      <c r="B21" s="1" t="s">
        <v>24</v>
      </c>
      <c r="C21" t="s">
        <v>41</v>
      </c>
      <c r="D21" s="89">
        <f>D9</f>
        <v>0.35847568581637868</v>
      </c>
      <c r="E21" s="89">
        <f>E9</f>
        <v>0.37007324142519676</v>
      </c>
      <c r="F21">
        <v>20</v>
      </c>
      <c r="G21" s="22" t="s">
        <v>32</v>
      </c>
    </row>
    <row r="22" spans="1:7" ht="15.75" customHeight="1">
      <c r="A22" s="132" t="s">
        <v>23</v>
      </c>
      <c r="B22" s="132" t="s">
        <v>24</v>
      </c>
      <c r="C22" s="133" t="s">
        <v>49</v>
      </c>
      <c r="D22" s="134">
        <v>0.3221</v>
      </c>
      <c r="E22" s="134">
        <v>0.34699999999999998</v>
      </c>
      <c r="F22" s="135">
        <v>21</v>
      </c>
      <c r="G22" s="136" t="s">
        <v>32</v>
      </c>
    </row>
    <row r="23" spans="1:7">
      <c r="A23" s="55"/>
      <c r="B23" s="72"/>
      <c r="C23" s="55"/>
      <c r="D23" s="48"/>
      <c r="E23" s="48"/>
      <c r="F23">
        <v>22</v>
      </c>
      <c r="G23" s="55"/>
    </row>
    <row r="24" spans="1:7">
      <c r="A24" t="str">
        <f t="shared" ref="A24:A41" si="1">A2</f>
        <v>PSX25001</v>
      </c>
      <c r="B24" s="73" t="str">
        <f t="shared" ref="B24:C36" si="2">_xlfn.TRANSLATE(B2,"pt","en")</f>
        <v>SUAPEK X Program</v>
      </c>
      <c r="C24" s="66" t="str">
        <f t="shared" si="2"/>
        <v>GENERAL ADVANCEMENT</v>
      </c>
      <c r="D24" s="74">
        <f t="shared" ref="D24:E36" si="3">D2</f>
        <v>0.35211830585981102</v>
      </c>
      <c r="E24" s="74">
        <f t="shared" si="3"/>
        <v>0.35349999999999998</v>
      </c>
      <c r="F24">
        <v>23</v>
      </c>
      <c r="G24" s="46" t="s">
        <v>37</v>
      </c>
    </row>
    <row r="25" spans="1:7">
      <c r="A25" t="str">
        <f t="shared" si="1"/>
        <v>PSX25001</v>
      </c>
      <c r="B25" s="73" t="str">
        <f t="shared" si="2"/>
        <v>SUAPEK X Program</v>
      </c>
      <c r="C25" s="66" t="str">
        <f t="shared" si="2"/>
        <v>LM/CRU ADVANCE</v>
      </c>
      <c r="D25" s="74">
        <f t="shared" si="3"/>
        <v>0.27582799101688832</v>
      </c>
      <c r="E25" s="74">
        <f t="shared" si="3"/>
        <v>0.27956825491742726</v>
      </c>
      <c r="F25">
        <v>24</v>
      </c>
      <c r="G25" s="46" t="s">
        <v>37</v>
      </c>
    </row>
    <row r="26" spans="1:7">
      <c r="A26" t="str">
        <f t="shared" si="1"/>
        <v>PSX25001</v>
      </c>
      <c r="B26" s="73" t="str">
        <f t="shared" si="2"/>
        <v>SUAPEK X Program</v>
      </c>
      <c r="C26" s="66" t="str">
        <f t="shared" si="2"/>
        <v>Filter Delivery - LM/CRU</v>
      </c>
      <c r="D26" s="74">
        <f t="shared" si="3"/>
        <v>0.70834625446743527</v>
      </c>
      <c r="E26" s="74">
        <f t="shared" si="3"/>
        <v>0.71403059564670757</v>
      </c>
      <c r="F26">
        <v>25</v>
      </c>
      <c r="G26" s="46" t="s">
        <v>37</v>
      </c>
    </row>
    <row r="27" spans="1:7">
      <c r="A27" t="str">
        <f t="shared" si="1"/>
        <v>PSX25001</v>
      </c>
      <c r="B27" s="73" t="str">
        <f t="shared" si="2"/>
        <v>SUAPEK X Program</v>
      </c>
      <c r="C27" s="66" t="str">
        <f t="shared" si="2"/>
        <v>SUAPEK 2 STEM</v>
      </c>
      <c r="D27" s="74">
        <f t="shared" si="3"/>
        <v>0.40266513357442846</v>
      </c>
      <c r="E27" s="74">
        <f t="shared" si="3"/>
        <v>0.4068102992477835</v>
      </c>
      <c r="F27">
        <v>26</v>
      </c>
      <c r="G27" s="46" t="s">
        <v>37</v>
      </c>
    </row>
    <row r="28" spans="1:7">
      <c r="A28" t="str">
        <f t="shared" si="1"/>
        <v>PSX25001</v>
      </c>
      <c r="B28" s="73" t="str">
        <f t="shared" si="2"/>
        <v>SUAPEK X Program</v>
      </c>
      <c r="C28" s="66" t="str">
        <f t="shared" si="2"/>
        <v>Delivery of the Air Plenum</v>
      </c>
      <c r="D28" s="74">
        <f t="shared" si="3"/>
        <v>0.701161593375214</v>
      </c>
      <c r="E28" s="74">
        <f t="shared" si="3"/>
        <v>0.73720371248395566</v>
      </c>
      <c r="F28">
        <v>27</v>
      </c>
      <c r="G28" s="46" t="s">
        <v>37</v>
      </c>
    </row>
    <row r="29" spans="1:7">
      <c r="A29" t="str">
        <f t="shared" si="1"/>
        <v>PSX25001</v>
      </c>
      <c r="B29" s="73" t="str">
        <f t="shared" si="2"/>
        <v>SUAPEK X Program</v>
      </c>
      <c r="C29" s="66" t="str">
        <f t="shared" si="2"/>
        <v>REACTOR INT. ADVANCE</v>
      </c>
      <c r="D29" s="74">
        <f t="shared" si="3"/>
        <v>0.26895147174254319</v>
      </c>
      <c r="E29" s="74">
        <f t="shared" si="3"/>
        <v>0.27263507742543169</v>
      </c>
      <c r="F29">
        <v>28</v>
      </c>
      <c r="G29" s="46" t="s">
        <v>37</v>
      </c>
    </row>
    <row r="30" spans="1:7">
      <c r="A30" t="str">
        <f t="shared" si="1"/>
        <v>PSX25001</v>
      </c>
      <c r="B30" s="73" t="str">
        <f t="shared" si="2"/>
        <v>SUAPEK X Program</v>
      </c>
      <c r="C30" s="66" t="str">
        <f t="shared" si="2"/>
        <v>Supplies Int. Reactor</v>
      </c>
      <c r="D30" s="74">
        <f t="shared" si="3"/>
        <v>0.94000607064017638</v>
      </c>
      <c r="E30" s="74">
        <f t="shared" si="3"/>
        <v>0.94745413707726267</v>
      </c>
      <c r="F30">
        <v>29</v>
      </c>
      <c r="G30" s="46" t="s">
        <v>37</v>
      </c>
    </row>
    <row r="31" spans="1:7">
      <c r="A31" t="str">
        <f t="shared" si="1"/>
        <v>PSX25001</v>
      </c>
      <c r="B31" s="73" t="str">
        <f t="shared" si="2"/>
        <v>SUAPEK X Program</v>
      </c>
      <c r="C31" s="66" t="str">
        <f t="shared" si="2"/>
        <v>GASFOIL/TAILLIGHT STEM</v>
      </c>
      <c r="D31" s="74">
        <f t="shared" si="3"/>
        <v>0.35847568581637868</v>
      </c>
      <c r="E31" s="74">
        <f t="shared" si="3"/>
        <v>0.37007324142519676</v>
      </c>
      <c r="F31">
        <v>30</v>
      </c>
      <c r="G31" s="46" t="s">
        <v>37</v>
      </c>
    </row>
    <row r="32" spans="1:7">
      <c r="A32" t="str">
        <f t="shared" si="1"/>
        <v>PSX25001</v>
      </c>
      <c r="B32" s="73" t="str">
        <f t="shared" si="2"/>
        <v>SUAPEK X Program</v>
      </c>
      <c r="C32" s="66" t="str">
        <f t="shared" si="2"/>
        <v>GENERAL ADVANCE E1-304</v>
      </c>
      <c r="D32" s="74">
        <f t="shared" si="3"/>
        <v>0.39236396144278612</v>
      </c>
      <c r="E32" s="74">
        <f t="shared" si="3"/>
        <v>0.39630483661691546</v>
      </c>
      <c r="F32">
        <v>31</v>
      </c>
      <c r="G32" s="46" t="s">
        <v>37</v>
      </c>
    </row>
    <row r="33" spans="1:7">
      <c r="A33" t="str">
        <f t="shared" si="1"/>
        <v>SUAP225002</v>
      </c>
      <c r="B33" s="73" t="str">
        <f t="shared" si="2"/>
        <v>SUAPEK 2</v>
      </c>
      <c r="C33" s="66" t="str">
        <f t="shared" si="2"/>
        <v>GENERAL ADVANCEMENT</v>
      </c>
      <c r="D33" s="74">
        <f t="shared" si="3"/>
        <v>0.40266513357442846</v>
      </c>
      <c r="E33" s="74">
        <f t="shared" si="3"/>
        <v>0.4068102992477835</v>
      </c>
      <c r="F33">
        <v>32</v>
      </c>
      <c r="G33" s="46" t="s">
        <v>37</v>
      </c>
    </row>
    <row r="34" spans="1:7">
      <c r="A34" t="str">
        <f t="shared" si="1"/>
        <v>SUAP225002</v>
      </c>
      <c r="B34" s="73" t="str">
        <f t="shared" si="2"/>
        <v>SUAPEK 2</v>
      </c>
      <c r="C34" s="66" t="str">
        <f t="shared" si="2"/>
        <v>Project Review</v>
      </c>
      <c r="D34" s="74">
        <f t="shared" si="3"/>
        <v>1</v>
      </c>
      <c r="E34" s="74">
        <f t="shared" si="3"/>
        <v>1</v>
      </c>
      <c r="F34">
        <v>33</v>
      </c>
      <c r="G34" s="46" t="s">
        <v>37</v>
      </c>
    </row>
    <row r="35" spans="1:7">
      <c r="A35" t="str">
        <f t="shared" si="1"/>
        <v>SUAP225002</v>
      </c>
      <c r="B35" s="73" t="str">
        <f t="shared" si="2"/>
        <v>SUAPEK 2</v>
      </c>
      <c r="C35" s="66" t="str">
        <f t="shared" si="2"/>
        <v>Supplies</v>
      </c>
      <c r="D35" s="74">
        <f t="shared" si="3"/>
        <v>0.77860504856614254</v>
      </c>
      <c r="E35" s="74">
        <f t="shared" si="3"/>
        <v>0.77989361124884371</v>
      </c>
      <c r="F35">
        <v>34</v>
      </c>
      <c r="G35" s="46" t="s">
        <v>37</v>
      </c>
    </row>
    <row r="36" spans="1:7">
      <c r="A36" t="str">
        <f t="shared" si="1"/>
        <v>SUAP225002</v>
      </c>
      <c r="B36" s="73" t="str">
        <f t="shared" si="2"/>
        <v>SUAPEK 2</v>
      </c>
      <c r="C36" s="66" t="str">
        <f t="shared" si="2"/>
        <v>Delivery of the Air Plenum</v>
      </c>
      <c r="D36" s="74">
        <f t="shared" si="3"/>
        <v>0.701161593375214</v>
      </c>
      <c r="E36" s="74">
        <f t="shared" si="3"/>
        <v>0.73720371248395566</v>
      </c>
      <c r="F36">
        <v>35</v>
      </c>
      <c r="G36" s="46" t="s">
        <v>37</v>
      </c>
    </row>
    <row r="37" spans="1:7">
      <c r="A37" t="str">
        <f t="shared" si="1"/>
        <v>INTR25003</v>
      </c>
      <c r="B37" s="73" t="str">
        <f t="shared" ref="B37:C37" si="4">_xlfn.TRANSLATE(B15,"pt","en")</f>
        <v>Reactor Internals</v>
      </c>
      <c r="C37" s="66" t="str">
        <f t="shared" si="4"/>
        <v>GENERAL ADVANCEMENT</v>
      </c>
      <c r="D37" s="74">
        <f t="shared" ref="D37:E37" si="5">D15</f>
        <v>0.26895147174254319</v>
      </c>
      <c r="E37" s="74">
        <f t="shared" si="5"/>
        <v>0.27263507742543169</v>
      </c>
      <c r="F37">
        <v>36</v>
      </c>
      <c r="G37" s="46" t="s">
        <v>37</v>
      </c>
    </row>
    <row r="38" spans="1:7">
      <c r="A38" t="str">
        <f t="shared" si="1"/>
        <v>INTR25003</v>
      </c>
      <c r="B38" s="73" t="str">
        <f t="shared" ref="B38:C38" si="6">_xlfn.TRANSLATE(B16,"pt","en")</f>
        <v>Reactor Internals</v>
      </c>
      <c r="C38" s="66" t="str">
        <f t="shared" si="6"/>
        <v>Supplies</v>
      </c>
      <c r="D38" s="74">
        <f t="shared" ref="D38:E38" si="7">D16</f>
        <v>0.94000607064017638</v>
      </c>
      <c r="E38" s="74">
        <f t="shared" si="7"/>
        <v>0.94745413707726267</v>
      </c>
      <c r="F38">
        <v>37</v>
      </c>
      <c r="G38" s="46" t="s">
        <v>37</v>
      </c>
    </row>
    <row r="39" spans="1:7">
      <c r="A39" t="str">
        <f t="shared" si="1"/>
        <v>LM.CRU25004</v>
      </c>
      <c r="B39" s="73" t="str">
        <f t="shared" ref="B39:C39" si="8">_xlfn.TRANSLATE(B17,"pt","en")</f>
        <v>LM/CRU</v>
      </c>
      <c r="C39" s="66" t="str">
        <f t="shared" si="8"/>
        <v>GENERAL ADVANCEMENT</v>
      </c>
      <c r="D39" s="74">
        <f t="shared" ref="D39:E39" si="9">D17</f>
        <v>0.27582799101688832</v>
      </c>
      <c r="E39" s="74">
        <f t="shared" si="9"/>
        <v>0.27956825491742726</v>
      </c>
      <c r="F39">
        <v>38</v>
      </c>
      <c r="G39" s="46" t="s">
        <v>37</v>
      </c>
    </row>
    <row r="40" spans="1:7">
      <c r="A40" t="str">
        <f t="shared" si="1"/>
        <v>LM.CRU25004</v>
      </c>
      <c r="B40" s="73" t="str">
        <f t="shared" ref="B40:C40" si="10">_xlfn.TRANSLATE(B18,"pt","en")</f>
        <v>LM/CRU</v>
      </c>
      <c r="C40" s="66" t="str">
        <f t="shared" si="10"/>
        <v>Detailed Design (FEL3 Included)</v>
      </c>
      <c r="D40" s="74">
        <f t="shared" ref="D40:E40" si="11">D18</f>
        <v>0.96333332444444419</v>
      </c>
      <c r="E40" s="74">
        <f t="shared" si="11"/>
        <v>0.96425936202449003</v>
      </c>
      <c r="F40">
        <v>39</v>
      </c>
      <c r="G40" s="46" t="s">
        <v>37</v>
      </c>
    </row>
    <row r="41" spans="1:7">
      <c r="A41" t="str">
        <f t="shared" si="1"/>
        <v>LM.CRU25004</v>
      </c>
      <c r="B41" s="73" t="str">
        <f t="shared" ref="B41:C41" si="12">_xlfn.TRANSLATE(B19,"pt","en")</f>
        <v>LM/CRU</v>
      </c>
      <c r="C41" s="66" t="str">
        <f t="shared" si="12"/>
        <v>Filter Delivery - LM/CRU</v>
      </c>
      <c r="D41" s="74">
        <f t="shared" ref="D41:E41" si="13">D19</f>
        <v>0.70834625446743527</v>
      </c>
      <c r="E41" s="74">
        <f t="shared" si="13"/>
        <v>0.71403059564670757</v>
      </c>
      <c r="F41">
        <v>40</v>
      </c>
      <c r="G41" s="46" t="s">
        <v>37</v>
      </c>
    </row>
    <row r="42" spans="1:7">
      <c r="A42" t="str">
        <f t="shared" ref="A42:A43" si="14">A21</f>
        <v>GASF25005</v>
      </c>
      <c r="B42" s="73" t="str">
        <f t="shared" ref="B42:C42" si="15">_xlfn.TRANSLATE(B21,"pt","en")</f>
        <v>Gasfoil and Lantern</v>
      </c>
      <c r="C42" s="66" t="str">
        <f t="shared" si="15"/>
        <v>GENERAL ADVANCEMENT</v>
      </c>
      <c r="D42" s="74">
        <f t="shared" ref="D42:E42" si="16">D21</f>
        <v>0.35847568581637868</v>
      </c>
      <c r="E42" s="74">
        <f t="shared" si="16"/>
        <v>0.37007324142519676</v>
      </c>
      <c r="F42">
        <v>41</v>
      </c>
      <c r="G42" s="46" t="s">
        <v>37</v>
      </c>
    </row>
    <row r="43" spans="1:7">
      <c r="A43" t="str">
        <f t="shared" si="14"/>
        <v>GASF25005</v>
      </c>
      <c r="B43" s="73" t="str">
        <f t="shared" ref="B43:C43" si="17">_xlfn.TRANSLATE(B22,"pt","en")</f>
        <v>Gasfoil and Lantern</v>
      </c>
      <c r="C43" s="66" t="str">
        <f t="shared" si="17"/>
        <v>Supplies</v>
      </c>
      <c r="D43" s="74">
        <f t="shared" ref="D43:E43" si="18">D22</f>
        <v>0.3221</v>
      </c>
      <c r="E43" s="74">
        <f t="shared" si="18"/>
        <v>0.34699999999999998</v>
      </c>
      <c r="F43">
        <v>42</v>
      </c>
      <c r="G43" s="46" t="s">
        <v>37</v>
      </c>
    </row>
  </sheetData>
  <phoneticPr fontId="5" type="noConversion"/>
  <pageMargins left="0.511811024" right="0.511811024" top="0.78740157499999996" bottom="0.78740157499999996" header="0.31496062000000002" footer="0.31496062000000002"/>
  <headerFooter>
    <oddFooter>&amp;L_x000D_&amp;1#&amp;"Calibri"&amp;10&amp;K000000 Public Information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74C6F-C8D8-4982-8BD9-4899A7944948}">
  <dimension ref="A1:BD34"/>
  <sheetViews>
    <sheetView zoomScale="85" zoomScaleNormal="85" workbookViewId="0">
      <pane xSplit="1" topLeftCell="B1" activePane="topRight" state="frozen"/>
      <selection pane="topRight" activeCell="O27" sqref="O27"/>
    </sheetView>
  </sheetViews>
  <sheetFormatPr defaultRowHeight="14.5"/>
  <cols>
    <col min="1" max="1" width="24.7265625" customWidth="1"/>
    <col min="2" max="2" width="26" bestFit="1" customWidth="1"/>
    <col min="20" max="20" width="8.81640625" bestFit="1" customWidth="1"/>
    <col min="28" max="28" width="19.54296875" style="30" bestFit="1" customWidth="1"/>
    <col min="32" max="32" width="20.54296875" bestFit="1" customWidth="1"/>
    <col min="34" max="34" width="17.453125" style="32" bestFit="1" customWidth="1"/>
    <col min="38" max="38" width="20.54296875" bestFit="1" customWidth="1"/>
    <col min="40" max="40" width="17.453125" style="32" bestFit="1" customWidth="1"/>
    <col min="44" max="44" width="20.54296875" bestFit="1" customWidth="1"/>
    <col min="46" max="46" width="26" style="32" bestFit="1" customWidth="1"/>
    <col min="47" max="47" width="15.26953125" customWidth="1"/>
    <col min="48" max="48" width="13.26953125" customWidth="1"/>
    <col min="50" max="50" width="20.54296875" bestFit="1" customWidth="1"/>
    <col min="52" max="52" width="23.1796875" bestFit="1" customWidth="1"/>
    <col min="53" max="53" width="13.54296875" bestFit="1" customWidth="1"/>
    <col min="54" max="54" width="17.1796875" bestFit="1" customWidth="1"/>
    <col min="55" max="55" width="15.1796875" bestFit="1" customWidth="1"/>
    <col min="56" max="56" width="18.54296875" bestFit="1" customWidth="1"/>
  </cols>
  <sheetData>
    <row r="1" spans="1:56">
      <c r="A1" s="25" t="s">
        <v>10</v>
      </c>
      <c r="B1" s="25" t="s">
        <v>10</v>
      </c>
      <c r="AB1" s="29" t="s">
        <v>10</v>
      </c>
      <c r="AH1" s="31" t="s">
        <v>50</v>
      </c>
      <c r="AN1" s="27" t="s">
        <v>51</v>
      </c>
      <c r="AT1" s="28" t="s">
        <v>52</v>
      </c>
      <c r="AZ1" s="81" t="s">
        <v>53</v>
      </c>
    </row>
    <row r="2" spans="1:56">
      <c r="A2" t="s">
        <v>10</v>
      </c>
      <c r="B2" t="s">
        <v>54</v>
      </c>
      <c r="C2" s="23">
        <v>45748</v>
      </c>
      <c r="D2" s="23">
        <v>45778</v>
      </c>
      <c r="E2" s="23">
        <v>45809</v>
      </c>
      <c r="F2" s="23">
        <v>45839</v>
      </c>
      <c r="G2" s="23">
        <v>45870</v>
      </c>
      <c r="H2" s="23">
        <v>45901</v>
      </c>
      <c r="I2" s="23">
        <v>45931</v>
      </c>
      <c r="J2" s="23">
        <v>45962</v>
      </c>
      <c r="K2" s="23">
        <v>45992</v>
      </c>
      <c r="L2" s="23">
        <v>46023</v>
      </c>
      <c r="M2" s="23">
        <v>46054</v>
      </c>
      <c r="N2" s="23">
        <v>46082</v>
      </c>
      <c r="O2" s="23">
        <v>46113</v>
      </c>
      <c r="P2" s="23">
        <v>46143</v>
      </c>
      <c r="Q2" s="23">
        <v>46174</v>
      </c>
      <c r="R2" s="23">
        <v>46204</v>
      </c>
      <c r="S2" s="23">
        <v>46235</v>
      </c>
      <c r="T2" s="23">
        <v>46266</v>
      </c>
      <c r="U2" s="23">
        <v>46296</v>
      </c>
      <c r="V2" s="23">
        <v>46327</v>
      </c>
      <c r="W2" s="23">
        <v>46357</v>
      </c>
      <c r="X2" s="19" t="s">
        <v>55</v>
      </c>
      <c r="AB2" s="39" t="str" cm="1">
        <f t="array" ref="AB2:AF23">TRANSPOSE(IF(B2:W6="","",B2:W6))</f>
        <v>Data</v>
      </c>
      <c r="AC2" s="40" t="str">
        <v>Previsto Mensal</v>
      </c>
      <c r="AD2" s="40" t="str">
        <v>Previsto Acumulado</v>
      </c>
      <c r="AE2" s="40" t="str">
        <v>Realizado Mensal</v>
      </c>
      <c r="AF2" s="40" t="str">
        <v>Realizado Acumulado</v>
      </c>
      <c r="AH2" s="37" t="str" cm="1">
        <f t="array" ref="AH2:AL23">TRANSPOSE(IF(B9:W13="","",B9:W13))</f>
        <v>Data</v>
      </c>
      <c r="AI2" s="38" t="str">
        <v>Previsto Mensal</v>
      </c>
      <c r="AJ2" s="38" t="str">
        <v>Previsto Acumulado</v>
      </c>
      <c r="AK2" s="38" t="str">
        <v>Realizado Mensal</v>
      </c>
      <c r="AL2" s="38" t="str">
        <v>Realizado Acumulado</v>
      </c>
      <c r="AN2" s="35" t="str" cm="1">
        <f t="array" ref="AN2:AR23">TRANSPOSE(IF(B16:W20="","",B16:W20))</f>
        <v>Data</v>
      </c>
      <c r="AO2" s="36" t="str">
        <v>Previsto Mensal</v>
      </c>
      <c r="AP2" s="36" t="str">
        <v>Previsto Acumulado</v>
      </c>
      <c r="AQ2" s="36" t="str">
        <v>Realizado Mensal</v>
      </c>
      <c r="AR2" s="36" t="str">
        <v>Realizado Acumulado</v>
      </c>
      <c r="AT2" s="33" t="str" cm="1">
        <f t="array" ref="AT2:AX23">TRANSPOSE(IF(B23:W27="","",B23:W27))</f>
        <v>Data</v>
      </c>
      <c r="AU2" s="34" t="str">
        <v>Previsto Mensal</v>
      </c>
      <c r="AV2" s="34" t="str">
        <v>Previsto Acumulado</v>
      </c>
      <c r="AW2" s="34" t="str">
        <v>Realizado Mensal</v>
      </c>
      <c r="AX2" s="34" t="str">
        <v>Realizado Acumulado</v>
      </c>
      <c r="AZ2" s="82" t="str" cm="1">
        <f t="array" ref="AZ2:BD23">TRANSPOSE(IF(B30:W34="","",B30:W34))</f>
        <v>Data</v>
      </c>
      <c r="BA2" s="82" t="str">
        <v>Previsto Mensal</v>
      </c>
      <c r="BB2" s="82" t="str">
        <v>Previsto Acumulado</v>
      </c>
      <c r="BC2" s="82" t="str">
        <v>Realizado Mensal</v>
      </c>
      <c r="BD2" s="82" t="str">
        <v>Realizado Acumulado</v>
      </c>
    </row>
    <row r="3" spans="1:56">
      <c r="A3" t="s">
        <v>10</v>
      </c>
      <c r="B3" t="s">
        <v>56</v>
      </c>
      <c r="C3" s="86">
        <v>6.1999999999999998E-3</v>
      </c>
      <c r="D3" s="86">
        <v>1.0500000000000001E-2</v>
      </c>
      <c r="E3" s="86">
        <v>1.26E-2</v>
      </c>
      <c r="F3" s="86">
        <v>9.9000000000000008E-3</v>
      </c>
      <c r="G3" s="86">
        <v>1.32E-2</v>
      </c>
      <c r="H3" s="86">
        <v>2.2800000000000001E-2</v>
      </c>
      <c r="I3" s="86">
        <v>4.5499999999999999E-2</v>
      </c>
      <c r="J3" s="86">
        <v>3.39E-2</v>
      </c>
      <c r="K3" s="86">
        <v>3.9E-2</v>
      </c>
      <c r="L3" s="86">
        <v>2.3800000000000002E-2</v>
      </c>
      <c r="M3" s="86">
        <v>4.2299999999999997E-2</v>
      </c>
      <c r="N3" s="86">
        <v>5.8200000000000002E-2</v>
      </c>
      <c r="O3" s="86">
        <v>3.4200000000000001E-2</v>
      </c>
      <c r="P3" s="86">
        <v>5.9534785459740253E-2</v>
      </c>
      <c r="Q3" s="86">
        <v>7.0314002069634382E-2</v>
      </c>
      <c r="R3" s="86">
        <v>7.9217427155394898E-2</v>
      </c>
      <c r="S3" s="86">
        <v>7.553021273566432E-2</v>
      </c>
      <c r="T3" s="86">
        <v>0.12953193729711612</v>
      </c>
      <c r="U3" s="86">
        <v>7.9063006046898629E-2</v>
      </c>
      <c r="V3" s="86">
        <v>7.7601784146798761E-2</v>
      </c>
      <c r="W3" s="86">
        <v>7.7088541045253936E-2</v>
      </c>
      <c r="X3" s="24">
        <f>SUM(C3:W3)</f>
        <v>0.99998169595650133</v>
      </c>
      <c r="Y3" s="24"/>
      <c r="AB3" s="30">
        <v>45748</v>
      </c>
      <c r="AC3" s="43">
        <v>6.1999999999999998E-3</v>
      </c>
      <c r="AD3" s="43">
        <v>6.1999999999999998E-3</v>
      </c>
      <c r="AE3" s="43">
        <v>7.6071214585207358E-3</v>
      </c>
      <c r="AF3" s="43">
        <v>7.6071214585207358E-3</v>
      </c>
      <c r="AH3" s="32">
        <v>45748</v>
      </c>
      <c r="AI3" s="43">
        <v>5.9999999999999995E-4</v>
      </c>
      <c r="AJ3" s="43">
        <v>5.9999999999999995E-4</v>
      </c>
      <c r="AK3" s="43">
        <v>0</v>
      </c>
      <c r="AL3" s="43">
        <v>0</v>
      </c>
      <c r="AN3" s="32">
        <v>45748</v>
      </c>
      <c r="AO3" s="43">
        <v>3.8999999999999998E-3</v>
      </c>
      <c r="AP3" s="43">
        <v>3.8999999999999998E-3</v>
      </c>
      <c r="AQ3" s="43">
        <v>3.8999999999999998E-3</v>
      </c>
      <c r="AR3" s="43">
        <v>3.8999999999999998E-3</v>
      </c>
      <c r="AT3" s="32" t="str">
        <v/>
      </c>
      <c r="AU3" s="43" t="str">
        <v/>
      </c>
      <c r="AV3" s="43" t="str">
        <v/>
      </c>
      <c r="AW3" s="43" t="str">
        <v/>
      </c>
      <c r="AX3" s="43" t="str">
        <v/>
      </c>
      <c r="AZ3" s="32">
        <v>45748</v>
      </c>
      <c r="BA3" s="83" t="str">
        <v/>
      </c>
      <c r="BB3" s="83" t="str">
        <v/>
      </c>
      <c r="BC3" s="83" t="str">
        <v/>
      </c>
      <c r="BD3" s="83" t="str">
        <v/>
      </c>
    </row>
    <row r="4" spans="1:56">
      <c r="A4" t="s">
        <v>10</v>
      </c>
      <c r="B4" t="s">
        <v>57</v>
      </c>
      <c r="C4" s="24">
        <f>C3</f>
        <v>6.1999999999999998E-3</v>
      </c>
      <c r="D4" s="24">
        <f>D3+C4</f>
        <v>1.67E-2</v>
      </c>
      <c r="E4" s="24">
        <f t="shared" ref="E4:U4" si="0">E3+D4</f>
        <v>2.93E-2</v>
      </c>
      <c r="F4" s="24">
        <f t="shared" si="0"/>
        <v>3.9199999999999999E-2</v>
      </c>
      <c r="G4" s="24">
        <f t="shared" si="0"/>
        <v>5.2400000000000002E-2</v>
      </c>
      <c r="H4" s="24">
        <f t="shared" si="0"/>
        <v>7.5200000000000003E-2</v>
      </c>
      <c r="I4" s="24">
        <f t="shared" si="0"/>
        <v>0.1207</v>
      </c>
      <c r="J4" s="24">
        <f t="shared" si="0"/>
        <v>0.15460000000000002</v>
      </c>
      <c r="K4" s="24">
        <f t="shared" si="0"/>
        <v>0.19360000000000002</v>
      </c>
      <c r="L4" s="24">
        <f t="shared" si="0"/>
        <v>0.21740000000000004</v>
      </c>
      <c r="M4" s="24">
        <f t="shared" si="0"/>
        <v>0.25970000000000004</v>
      </c>
      <c r="N4" s="24">
        <f t="shared" si="0"/>
        <v>0.31790000000000007</v>
      </c>
      <c r="O4" s="24">
        <f t="shared" si="0"/>
        <v>0.35210000000000008</v>
      </c>
      <c r="P4" s="24">
        <f t="shared" si="0"/>
        <v>0.4116347854597403</v>
      </c>
      <c r="Q4" s="24">
        <f t="shared" si="0"/>
        <v>0.4819487875293747</v>
      </c>
      <c r="R4" s="24">
        <f t="shared" si="0"/>
        <v>0.56116621468476957</v>
      </c>
      <c r="S4" s="24">
        <f t="shared" si="0"/>
        <v>0.63669642742043386</v>
      </c>
      <c r="T4" s="24">
        <f t="shared" si="0"/>
        <v>0.76622836471754996</v>
      </c>
      <c r="U4" s="24">
        <f t="shared" si="0"/>
        <v>0.8452913707644486</v>
      </c>
      <c r="V4" s="24">
        <f>V3+U4</f>
        <v>0.92289315491124735</v>
      </c>
      <c r="W4" s="24">
        <f>W3+V4</f>
        <v>0.99998169595650133</v>
      </c>
      <c r="X4" s="24"/>
      <c r="Y4" s="24"/>
      <c r="AB4" s="30">
        <v>45778</v>
      </c>
      <c r="AC4" s="43">
        <v>1.0500000000000001E-2</v>
      </c>
      <c r="AD4" s="43">
        <v>1.67E-2</v>
      </c>
      <c r="AE4" s="43">
        <v>1.47222876853031E-2</v>
      </c>
      <c r="AF4" s="43">
        <v>2.2329409143823836E-2</v>
      </c>
      <c r="AH4" s="32">
        <v>45778</v>
      </c>
      <c r="AI4" s="43">
        <v>9.9000000000000008E-3</v>
      </c>
      <c r="AJ4" s="43">
        <v>1.0500000000000001E-2</v>
      </c>
      <c r="AK4" s="43">
        <v>1.0500000000000001E-2</v>
      </c>
      <c r="AL4" s="43">
        <v>1.0500000000000001E-2</v>
      </c>
      <c r="AN4" s="32">
        <v>45778</v>
      </c>
      <c r="AO4" s="43">
        <v>6.1999999999999998E-3</v>
      </c>
      <c r="AP4" s="43">
        <v>1.01E-2</v>
      </c>
      <c r="AQ4" s="43">
        <v>8.3000000000000018E-3</v>
      </c>
      <c r="AR4" s="43">
        <v>1.2200000000000001E-2</v>
      </c>
      <c r="AT4" s="32" t="str">
        <v/>
      </c>
      <c r="AU4" s="43" t="str">
        <v/>
      </c>
      <c r="AV4" s="43" t="str">
        <v/>
      </c>
      <c r="AW4" s="43" t="str">
        <v/>
      </c>
      <c r="AX4" s="43" t="str">
        <v/>
      </c>
      <c r="AZ4" s="32">
        <v>45778</v>
      </c>
      <c r="BA4" s="83" t="str">
        <v/>
      </c>
      <c r="BB4" s="83" t="str">
        <v/>
      </c>
      <c r="BC4" s="83" t="str">
        <v/>
      </c>
      <c r="BD4" s="83" t="str">
        <v/>
      </c>
    </row>
    <row r="5" spans="1:56">
      <c r="A5" t="s">
        <v>10</v>
      </c>
      <c r="B5" t="s">
        <v>58</v>
      </c>
      <c r="C5" s="24">
        <v>7.6071214585207358E-3</v>
      </c>
      <c r="D5" s="45">
        <f t="shared" ref="D5:H5" si="1">D6-C6</f>
        <v>1.47222876853031E-2</v>
      </c>
      <c r="E5" s="45">
        <f t="shared" si="1"/>
        <v>2.0070590856176164E-2</v>
      </c>
      <c r="F5" s="45">
        <f t="shared" si="1"/>
        <v>1.67E-2</v>
      </c>
      <c r="G5" s="45">
        <f t="shared" si="1"/>
        <v>1.4399999999999996E-2</v>
      </c>
      <c r="H5" s="45">
        <f t="shared" si="1"/>
        <v>1.5100000000000002E-2</v>
      </c>
      <c r="I5" s="45">
        <f t="shared" ref="I5:O5" si="2">I6-H6</f>
        <v>3.3500000000000002E-2</v>
      </c>
      <c r="J5" s="45">
        <f t="shared" si="2"/>
        <v>3.8100000000000009E-2</v>
      </c>
      <c r="K5" s="45">
        <f t="shared" si="2"/>
        <v>2.7099999999999985E-2</v>
      </c>
      <c r="L5" s="45">
        <f t="shared" si="2"/>
        <v>3.0200000000000005E-2</v>
      </c>
      <c r="M5" s="45">
        <f t="shared" si="2"/>
        <v>5.9600000000000014E-2</v>
      </c>
      <c r="N5" s="45">
        <f t="shared" si="2"/>
        <v>4.6300000000000008E-2</v>
      </c>
      <c r="O5" s="45">
        <f t="shared" si="2"/>
        <v>3.009999999999996E-2</v>
      </c>
      <c r="P5" s="24"/>
      <c r="Q5" s="24"/>
      <c r="R5" s="24"/>
      <c r="S5" s="24"/>
      <c r="T5" s="24"/>
      <c r="U5" s="24"/>
      <c r="V5" s="24"/>
      <c r="W5" s="24"/>
      <c r="X5" s="24"/>
      <c r="Y5" s="24"/>
      <c r="AB5" s="30">
        <v>45809</v>
      </c>
      <c r="AC5" s="43">
        <v>1.26E-2</v>
      </c>
      <c r="AD5" s="43">
        <v>2.93E-2</v>
      </c>
      <c r="AE5" s="43">
        <v>2.0070590856176164E-2</v>
      </c>
      <c r="AF5" s="43">
        <v>4.24E-2</v>
      </c>
      <c r="AH5" s="32">
        <v>45809</v>
      </c>
      <c r="AI5" s="43">
        <v>8.2000000000000007E-3</v>
      </c>
      <c r="AJ5" s="43">
        <v>1.8700000000000001E-2</v>
      </c>
      <c r="AK5" s="43">
        <v>8.4999999999999989E-3</v>
      </c>
      <c r="AL5" s="43">
        <v>1.9E-2</v>
      </c>
      <c r="AN5" s="32">
        <v>45809</v>
      </c>
      <c r="AO5" s="43">
        <v>8.0000000000000002E-3</v>
      </c>
      <c r="AP5" s="43">
        <v>1.8099999999999998E-2</v>
      </c>
      <c r="AQ5" s="43">
        <v>7.899999999999999E-3</v>
      </c>
      <c r="AR5" s="43">
        <v>2.01E-2</v>
      </c>
      <c r="AT5" s="32">
        <v>45809</v>
      </c>
      <c r="AU5" s="43">
        <v>1.77E-2</v>
      </c>
      <c r="AV5" s="43">
        <v>1.77E-2</v>
      </c>
      <c r="AW5" s="43">
        <v>1.5599999999999999E-2</v>
      </c>
      <c r="AX5" s="43">
        <v>1.5599999999999999E-2</v>
      </c>
      <c r="AZ5" s="32">
        <v>45809</v>
      </c>
      <c r="BA5" s="83" t="str">
        <v/>
      </c>
      <c r="BB5" s="83" t="str">
        <v/>
      </c>
      <c r="BC5" s="83" t="str">
        <v/>
      </c>
      <c r="BD5" s="83" t="str">
        <v/>
      </c>
    </row>
    <row r="6" spans="1:56">
      <c r="A6" t="s">
        <v>10</v>
      </c>
      <c r="B6" t="s">
        <v>59</v>
      </c>
      <c r="C6" s="24">
        <v>7.6071214585207358E-3</v>
      </c>
      <c r="D6" s="24">
        <v>2.2329409143823836E-2</v>
      </c>
      <c r="E6" s="24">
        <v>4.24E-2</v>
      </c>
      <c r="F6" s="45">
        <v>5.91E-2</v>
      </c>
      <c r="G6" s="45">
        <v>7.3499999999999996E-2</v>
      </c>
      <c r="H6" s="45">
        <v>8.8599999999999998E-2</v>
      </c>
      <c r="I6" s="45">
        <v>0.1221</v>
      </c>
      <c r="J6" s="45">
        <v>0.16020000000000001</v>
      </c>
      <c r="K6" s="45">
        <v>0.18729999999999999</v>
      </c>
      <c r="L6" s="45">
        <v>0.2175</v>
      </c>
      <c r="M6" s="79">
        <v>0.27710000000000001</v>
      </c>
      <c r="N6" s="79">
        <v>0.32340000000000002</v>
      </c>
      <c r="O6" s="49">
        <v>0.35349999999999998</v>
      </c>
      <c r="P6" s="24"/>
      <c r="Q6" s="24"/>
      <c r="R6" s="24"/>
      <c r="S6" s="24"/>
      <c r="T6" s="24"/>
      <c r="U6" s="24"/>
      <c r="V6" s="24"/>
      <c r="W6" s="24"/>
      <c r="X6" s="24"/>
      <c r="Y6" s="24"/>
      <c r="AB6" s="30">
        <v>45839</v>
      </c>
      <c r="AC6" s="43">
        <v>9.9000000000000008E-3</v>
      </c>
      <c r="AD6" s="43">
        <v>3.9199999999999999E-2</v>
      </c>
      <c r="AE6" s="43">
        <v>1.67E-2</v>
      </c>
      <c r="AF6" s="43">
        <v>5.91E-2</v>
      </c>
      <c r="AH6" s="32">
        <v>45839</v>
      </c>
      <c r="AI6" s="43">
        <v>1.2800000000000001E-2</v>
      </c>
      <c r="AJ6" s="43">
        <v>3.15E-2</v>
      </c>
      <c r="AK6" s="43">
        <v>2.4799999999999999E-2</v>
      </c>
      <c r="AL6" s="43">
        <v>4.3799999999999999E-2</v>
      </c>
      <c r="AN6" s="32">
        <v>45839</v>
      </c>
      <c r="AO6" s="43">
        <v>7.9000000000000008E-3</v>
      </c>
      <c r="AP6" s="43">
        <v>2.5999999999999999E-2</v>
      </c>
      <c r="AQ6" s="43">
        <v>1.6199999999999999E-2</v>
      </c>
      <c r="AR6" s="43">
        <v>3.6299999999999999E-2</v>
      </c>
      <c r="AT6" s="32">
        <v>45839</v>
      </c>
      <c r="AU6" s="43">
        <v>3.9199999999999999E-2</v>
      </c>
      <c r="AV6" s="43">
        <v>5.6899999999999999E-2</v>
      </c>
      <c r="AW6" s="43">
        <v>4.3899999999999995E-2</v>
      </c>
      <c r="AX6" s="43">
        <v>5.9499999999999997E-2</v>
      </c>
      <c r="AZ6" s="32">
        <v>45839</v>
      </c>
      <c r="BA6" s="83" t="str">
        <v/>
      </c>
      <c r="BB6" s="83" t="str">
        <v/>
      </c>
      <c r="BC6" s="83" t="str">
        <v/>
      </c>
      <c r="BD6" s="83" t="str">
        <v/>
      </c>
    </row>
    <row r="7" spans="1:56">
      <c r="G7" s="79"/>
      <c r="AB7" s="30">
        <v>45870</v>
      </c>
      <c r="AC7" s="43">
        <v>1.32E-2</v>
      </c>
      <c r="AD7" s="43">
        <v>5.2400000000000002E-2</v>
      </c>
      <c r="AE7" s="43">
        <v>1.4399999999999996E-2</v>
      </c>
      <c r="AF7" s="43">
        <v>7.3499999999999996E-2</v>
      </c>
      <c r="AH7" s="32">
        <v>45870</v>
      </c>
      <c r="AI7" s="43">
        <v>1.12E-2</v>
      </c>
      <c r="AJ7" s="43">
        <v>4.2700000000000002E-2</v>
      </c>
      <c r="AK7" s="43">
        <v>1.3400000000000002E-2</v>
      </c>
      <c r="AL7" s="43">
        <v>5.7200000000000001E-2</v>
      </c>
      <c r="AN7" s="32">
        <v>45870</v>
      </c>
      <c r="AO7" s="43">
        <v>1.2500000000000001E-2</v>
      </c>
      <c r="AP7" s="43">
        <v>3.85E-2</v>
      </c>
      <c r="AQ7" s="43">
        <v>1.6600000000000004E-2</v>
      </c>
      <c r="AR7" s="43">
        <v>5.2900000000000003E-2</v>
      </c>
      <c r="AT7" s="32">
        <v>45870</v>
      </c>
      <c r="AU7" s="43">
        <v>3.2000000000000002E-3</v>
      </c>
      <c r="AV7" s="43">
        <v>6.0100000000000001E-2</v>
      </c>
      <c r="AW7" s="43">
        <v>8.0000000000000071E-3</v>
      </c>
      <c r="AX7" s="43">
        <v>6.7500000000000004E-2</v>
      </c>
      <c r="AZ7" s="32">
        <v>45870</v>
      </c>
      <c r="BA7" s="83">
        <v>1.9800000000000002E-2</v>
      </c>
      <c r="BB7" s="83">
        <v>1.9800000000000002E-2</v>
      </c>
      <c r="BC7" s="83">
        <v>3.5000000000000003E-2</v>
      </c>
      <c r="BD7" s="83">
        <v>3.5000000000000003E-2</v>
      </c>
    </row>
    <row r="8" spans="1:56">
      <c r="AB8" s="30">
        <v>45901</v>
      </c>
      <c r="AC8" s="43">
        <v>2.2800000000000001E-2</v>
      </c>
      <c r="AD8" s="43">
        <v>7.5200000000000003E-2</v>
      </c>
      <c r="AE8" s="43">
        <v>1.5100000000000002E-2</v>
      </c>
      <c r="AF8" s="43">
        <v>8.8599999999999998E-2</v>
      </c>
      <c r="AH8" s="32">
        <v>45901</v>
      </c>
      <c r="AI8" s="43">
        <v>2.4199999999999999E-2</v>
      </c>
      <c r="AJ8" s="43">
        <v>6.6900000000000001E-2</v>
      </c>
      <c r="AK8" s="43">
        <v>2.1199999999999997E-2</v>
      </c>
      <c r="AL8" s="43">
        <v>7.8399999999999997E-2</v>
      </c>
      <c r="AN8" s="32">
        <v>45901</v>
      </c>
      <c r="AO8" s="43">
        <v>2.29E-2</v>
      </c>
      <c r="AP8" s="43">
        <v>6.1399999999999996E-2</v>
      </c>
      <c r="AQ8" s="43">
        <v>2.4800000000000003E-2</v>
      </c>
      <c r="AR8" s="43">
        <v>7.7700000000000005E-2</v>
      </c>
      <c r="AT8" s="32">
        <v>45901</v>
      </c>
      <c r="AU8" s="43">
        <v>6.1999999999999998E-3</v>
      </c>
      <c r="AV8" s="43">
        <v>6.6299999999999998E-2</v>
      </c>
      <c r="AW8" s="43">
        <v>4.2999999999999983E-3</v>
      </c>
      <c r="AX8" s="43">
        <v>7.1800000000000003E-2</v>
      </c>
      <c r="AZ8" s="32">
        <v>45901</v>
      </c>
      <c r="BA8" s="83">
        <v>1.6199999999999999E-2</v>
      </c>
      <c r="BB8" s="83">
        <v>3.6000000000000004E-2</v>
      </c>
      <c r="BC8" s="83">
        <v>5.9999999999999984E-3</v>
      </c>
      <c r="BD8" s="83">
        <v>4.1000000000000002E-2</v>
      </c>
    </row>
    <row r="9" spans="1:56">
      <c r="A9" s="26" t="s">
        <v>50</v>
      </c>
      <c r="B9" t="s">
        <v>54</v>
      </c>
      <c r="C9" s="23">
        <v>45748</v>
      </c>
      <c r="D9" s="23">
        <v>45778</v>
      </c>
      <c r="E9" s="23">
        <v>45809</v>
      </c>
      <c r="F9" s="23">
        <v>45839</v>
      </c>
      <c r="G9" s="23">
        <v>45870</v>
      </c>
      <c r="H9" s="23">
        <v>45901</v>
      </c>
      <c r="I9" s="23">
        <v>45931</v>
      </c>
      <c r="J9" s="23">
        <v>45962</v>
      </c>
      <c r="K9" s="23">
        <v>45992</v>
      </c>
      <c r="L9" s="23">
        <v>46023</v>
      </c>
      <c r="M9" s="23">
        <v>46054</v>
      </c>
      <c r="N9" s="23">
        <v>46082</v>
      </c>
      <c r="O9" s="23">
        <v>46113</v>
      </c>
      <c r="P9" s="23">
        <v>46143</v>
      </c>
      <c r="Q9" s="23">
        <v>46174</v>
      </c>
      <c r="R9" s="23">
        <v>46204</v>
      </c>
      <c r="S9" s="23">
        <v>46235</v>
      </c>
      <c r="T9" s="23">
        <v>46266</v>
      </c>
      <c r="U9" s="23">
        <v>46296</v>
      </c>
      <c r="V9" s="23">
        <v>46327</v>
      </c>
      <c r="W9" s="23">
        <v>46357</v>
      </c>
      <c r="X9" s="19" t="s">
        <v>55</v>
      </c>
      <c r="AB9" s="30">
        <v>45931</v>
      </c>
      <c r="AC9" s="43">
        <v>4.5499999999999999E-2</v>
      </c>
      <c r="AD9" s="43">
        <v>0.1207</v>
      </c>
      <c r="AE9" s="43">
        <v>3.3500000000000002E-2</v>
      </c>
      <c r="AF9" s="43">
        <v>0.1221</v>
      </c>
      <c r="AH9" s="32">
        <v>45931</v>
      </c>
      <c r="AI9" s="43">
        <v>9.5899999999999999E-2</v>
      </c>
      <c r="AJ9" s="43">
        <v>0.1628</v>
      </c>
      <c r="AK9" s="43">
        <v>7.2700000000000015E-2</v>
      </c>
      <c r="AL9" s="43">
        <v>0.15110000000000001</v>
      </c>
      <c r="AN9" s="32">
        <v>45931</v>
      </c>
      <c r="AO9" s="43">
        <v>2.1999999999999999E-2</v>
      </c>
      <c r="AP9" s="43">
        <v>8.3400000000000002E-2</v>
      </c>
      <c r="AQ9" s="43">
        <v>2.0199999999999996E-2</v>
      </c>
      <c r="AR9" s="43">
        <v>9.7900000000000001E-2</v>
      </c>
      <c r="AT9" s="32">
        <v>45931</v>
      </c>
      <c r="AU9" s="43">
        <v>9.2999999999999992E-3</v>
      </c>
      <c r="AV9" s="43">
        <v>7.5600000000000001E-2</v>
      </c>
      <c r="AW9" s="43">
        <v>1.2799999999999992E-2</v>
      </c>
      <c r="AX9" s="43">
        <v>8.4599999999999995E-2</v>
      </c>
      <c r="AZ9" s="32">
        <v>45931</v>
      </c>
      <c r="BA9" s="83">
        <v>4.0399999999999998E-2</v>
      </c>
      <c r="BB9" s="83">
        <v>7.6399999999999996E-2</v>
      </c>
      <c r="BC9" s="83">
        <v>4.2900000000000001E-2</v>
      </c>
      <c r="BD9" s="83">
        <v>8.3900000000000002E-2</v>
      </c>
    </row>
    <row r="10" spans="1:56">
      <c r="A10" t="s">
        <v>50</v>
      </c>
      <c r="B10" t="s">
        <v>56</v>
      </c>
      <c r="C10" s="86">
        <v>5.9999999999999995E-4</v>
      </c>
      <c r="D10" s="86">
        <v>9.9000000000000008E-3</v>
      </c>
      <c r="E10" s="86">
        <v>8.2000000000000007E-3</v>
      </c>
      <c r="F10" s="86">
        <v>1.2800000000000001E-2</v>
      </c>
      <c r="G10" s="86">
        <v>1.12E-2</v>
      </c>
      <c r="H10" s="24">
        <v>2.4199999999999999E-2</v>
      </c>
      <c r="I10" s="86">
        <v>9.5899999999999999E-2</v>
      </c>
      <c r="J10" s="86">
        <v>4.5699999999999998E-2</v>
      </c>
      <c r="K10" s="86">
        <v>5.3600000000000002E-2</v>
      </c>
      <c r="L10" s="86">
        <v>5.1499999999999997E-2</v>
      </c>
      <c r="M10" s="86">
        <v>5.45E-2</v>
      </c>
      <c r="N10" s="86">
        <v>9.1000000000000004E-3</v>
      </c>
      <c r="O10" s="86">
        <v>2.5499999999999998E-2</v>
      </c>
      <c r="P10" s="86">
        <v>4.5209984251049926E-2</v>
      </c>
      <c r="Q10" s="86">
        <v>5.8723647340177321E-2</v>
      </c>
      <c r="R10" s="86">
        <v>8.0306391157256185E-2</v>
      </c>
      <c r="S10" s="86">
        <v>0.10444288205786281</v>
      </c>
      <c r="T10" s="86">
        <v>0.13974388882407843</v>
      </c>
      <c r="U10" s="86">
        <v>9.057862809146057E-2</v>
      </c>
      <c r="V10" s="86">
        <v>7.8329444703686427E-2</v>
      </c>
      <c r="W10" s="24"/>
      <c r="X10" s="24">
        <f>SUM(C10:W10)</f>
        <v>1.0000348664255716</v>
      </c>
      <c r="Y10" s="24"/>
      <c r="AB10" s="30">
        <v>45962</v>
      </c>
      <c r="AC10" s="43">
        <v>3.39E-2</v>
      </c>
      <c r="AD10" s="43">
        <v>0.15460000000000002</v>
      </c>
      <c r="AE10" s="43">
        <v>3.8100000000000009E-2</v>
      </c>
      <c r="AF10" s="43">
        <v>0.16020000000000001</v>
      </c>
      <c r="AH10" s="32">
        <v>45962</v>
      </c>
      <c r="AI10" s="43">
        <v>4.5699999999999998E-2</v>
      </c>
      <c r="AJ10" s="43">
        <v>0.20849999999999999</v>
      </c>
      <c r="AK10" s="43">
        <v>5.8999999999999997E-2</v>
      </c>
      <c r="AL10" s="43">
        <v>0.21010000000000001</v>
      </c>
      <c r="AN10" s="32">
        <v>45962</v>
      </c>
      <c r="AO10" s="43">
        <v>2.7199999999999998E-2</v>
      </c>
      <c r="AP10" s="43">
        <v>0.1106</v>
      </c>
      <c r="AQ10" s="43">
        <v>1.9799999999999998E-2</v>
      </c>
      <c r="AR10" s="43">
        <v>0.1177</v>
      </c>
      <c r="AT10" s="32">
        <v>45962</v>
      </c>
      <c r="AU10" s="43">
        <v>7.7000000000000002E-3</v>
      </c>
      <c r="AV10" s="43">
        <v>8.3299999999999999E-2</v>
      </c>
      <c r="AW10" s="43">
        <v>1.3700000000000004E-2</v>
      </c>
      <c r="AX10" s="43">
        <v>9.8299999999999998E-2</v>
      </c>
      <c r="AZ10" s="32">
        <v>45962</v>
      </c>
      <c r="BA10" s="83">
        <v>4.19E-2</v>
      </c>
      <c r="BB10" s="83">
        <v>0.11829999999999999</v>
      </c>
      <c r="BC10" s="83">
        <v>3.9699999999999999E-2</v>
      </c>
      <c r="BD10" s="83">
        <v>0.1236</v>
      </c>
    </row>
    <row r="11" spans="1:56">
      <c r="A11" t="s">
        <v>50</v>
      </c>
      <c r="B11" t="s">
        <v>57</v>
      </c>
      <c r="C11" s="24">
        <f>C10</f>
        <v>5.9999999999999995E-4</v>
      </c>
      <c r="D11" s="24">
        <f>D10+C11</f>
        <v>1.0500000000000001E-2</v>
      </c>
      <c r="E11" s="24">
        <f t="shared" ref="E11:V11" si="3">E10+D11</f>
        <v>1.8700000000000001E-2</v>
      </c>
      <c r="F11" s="24">
        <f t="shared" si="3"/>
        <v>3.15E-2</v>
      </c>
      <c r="G11" s="24">
        <f t="shared" si="3"/>
        <v>4.2700000000000002E-2</v>
      </c>
      <c r="H11" s="24">
        <f t="shared" si="3"/>
        <v>6.6900000000000001E-2</v>
      </c>
      <c r="I11" s="24">
        <f t="shared" si="3"/>
        <v>0.1628</v>
      </c>
      <c r="J11" s="24">
        <f t="shared" si="3"/>
        <v>0.20849999999999999</v>
      </c>
      <c r="K11" s="24">
        <f t="shared" si="3"/>
        <v>0.2621</v>
      </c>
      <c r="L11" s="24">
        <f t="shared" si="3"/>
        <v>0.31359999999999999</v>
      </c>
      <c r="M11" s="24">
        <f t="shared" si="3"/>
        <v>0.36809999999999998</v>
      </c>
      <c r="N11" s="24">
        <f t="shared" si="3"/>
        <v>0.37719999999999998</v>
      </c>
      <c r="O11" s="24">
        <f t="shared" si="3"/>
        <v>0.4027</v>
      </c>
      <c r="P11" s="24">
        <f t="shared" si="3"/>
        <v>0.44790998425104994</v>
      </c>
      <c r="Q11" s="24">
        <f t="shared" si="3"/>
        <v>0.50663363159122721</v>
      </c>
      <c r="R11" s="24">
        <f t="shared" si="3"/>
        <v>0.58694002274848334</v>
      </c>
      <c r="S11" s="24">
        <f t="shared" si="3"/>
        <v>0.69138290480634612</v>
      </c>
      <c r="T11" s="24">
        <f t="shared" si="3"/>
        <v>0.83112679363042452</v>
      </c>
      <c r="U11" s="24">
        <f t="shared" si="3"/>
        <v>0.92170542172188508</v>
      </c>
      <c r="V11" s="24">
        <f t="shared" si="3"/>
        <v>1.0000348664255716</v>
      </c>
      <c r="W11" s="24"/>
      <c r="X11" s="24"/>
      <c r="Y11" s="24"/>
      <c r="AB11" s="30">
        <v>45992</v>
      </c>
      <c r="AC11" s="43">
        <v>3.9E-2</v>
      </c>
      <c r="AD11" s="43">
        <v>0.19360000000000002</v>
      </c>
      <c r="AE11" s="43">
        <v>2.7099999999999985E-2</v>
      </c>
      <c r="AF11" s="43">
        <v>0.18729999999999999</v>
      </c>
      <c r="AH11" s="32">
        <v>45992</v>
      </c>
      <c r="AI11" s="43">
        <v>5.3600000000000002E-2</v>
      </c>
      <c r="AJ11" s="43">
        <v>0.2621</v>
      </c>
      <c r="AK11" s="43">
        <v>4.4999999999999984E-2</v>
      </c>
      <c r="AL11" s="43">
        <v>0.25509999999999999</v>
      </c>
      <c r="AN11" s="32">
        <v>45992</v>
      </c>
      <c r="AO11" s="43">
        <v>2.69E-2</v>
      </c>
      <c r="AP11" s="43">
        <v>0.13750000000000001</v>
      </c>
      <c r="AQ11" s="43">
        <v>1.5199999999999991E-2</v>
      </c>
      <c r="AR11" s="43">
        <v>0.13289999999999999</v>
      </c>
      <c r="AT11" s="32">
        <v>45992</v>
      </c>
      <c r="AU11" s="43">
        <v>2.5700000000000001E-2</v>
      </c>
      <c r="AV11" s="43">
        <v>0.109</v>
      </c>
      <c r="AW11" s="43">
        <v>1.9900000000000001E-2</v>
      </c>
      <c r="AX11" s="43">
        <v>0.1182</v>
      </c>
      <c r="AZ11" s="32">
        <v>45992</v>
      </c>
      <c r="BA11" s="83">
        <v>4.3799999999999999E-2</v>
      </c>
      <c r="BB11" s="83">
        <v>0.16209999999999999</v>
      </c>
      <c r="BC11" s="83">
        <v>4.65E-2</v>
      </c>
      <c r="BD11" s="83">
        <v>0.1701</v>
      </c>
    </row>
    <row r="12" spans="1:56">
      <c r="A12" t="s">
        <v>50</v>
      </c>
      <c r="B12" t="s">
        <v>58</v>
      </c>
      <c r="C12" s="24">
        <v>0</v>
      </c>
      <c r="D12" s="24">
        <v>1.0500000000000001E-2</v>
      </c>
      <c r="E12" s="24">
        <v>8.4999999999999989E-3</v>
      </c>
      <c r="F12" s="45">
        <v>2.4799999999999999E-2</v>
      </c>
      <c r="G12" s="45">
        <f t="shared" ref="G12:O12" si="4">G13-F13</f>
        <v>1.3400000000000002E-2</v>
      </c>
      <c r="H12" s="45">
        <f t="shared" si="4"/>
        <v>2.1199999999999997E-2</v>
      </c>
      <c r="I12" s="45">
        <f t="shared" si="4"/>
        <v>7.2700000000000015E-2</v>
      </c>
      <c r="J12" s="45">
        <f t="shared" si="4"/>
        <v>5.8999999999999997E-2</v>
      </c>
      <c r="K12" s="45">
        <f t="shared" si="4"/>
        <v>4.4999999999999984E-2</v>
      </c>
      <c r="L12" s="45">
        <f t="shared" si="4"/>
        <v>3.9200000000000013E-2</v>
      </c>
      <c r="M12" s="45">
        <f t="shared" si="4"/>
        <v>7.489378396080254E-2</v>
      </c>
      <c r="N12" s="45">
        <f t="shared" si="4"/>
        <v>1.3363861406439581E-2</v>
      </c>
      <c r="O12" s="45">
        <f t="shared" si="4"/>
        <v>2.4252653880541375E-2</v>
      </c>
      <c r="P12" s="24"/>
      <c r="Q12" s="24"/>
      <c r="R12" s="24"/>
      <c r="S12" s="24"/>
      <c r="T12" s="24"/>
      <c r="U12" s="24"/>
      <c r="V12" s="24"/>
      <c r="W12" s="24"/>
      <c r="X12" s="24"/>
      <c r="Y12" s="24"/>
      <c r="AB12" s="30">
        <v>46023</v>
      </c>
      <c r="AC12" s="43">
        <v>2.3800000000000002E-2</v>
      </c>
      <c r="AD12" s="43">
        <v>0.21740000000000004</v>
      </c>
      <c r="AE12" s="43">
        <v>3.0200000000000005E-2</v>
      </c>
      <c r="AF12" s="43">
        <v>0.2175</v>
      </c>
      <c r="AH12" s="32">
        <v>46023</v>
      </c>
      <c r="AI12" s="43">
        <v>5.1499999999999997E-2</v>
      </c>
      <c r="AJ12" s="43">
        <v>0.31359999999999999</v>
      </c>
      <c r="AK12" s="43">
        <v>3.9200000000000013E-2</v>
      </c>
      <c r="AL12" s="43">
        <v>0.29430000000000001</v>
      </c>
      <c r="AN12" s="32">
        <v>46023</v>
      </c>
      <c r="AO12" s="43">
        <v>5.45E-2</v>
      </c>
      <c r="AP12" s="43">
        <v>0.192</v>
      </c>
      <c r="AQ12" s="43">
        <v>5.9200000000000003E-2</v>
      </c>
      <c r="AR12" s="43">
        <v>0.19209999999999999</v>
      </c>
      <c r="AT12" s="32">
        <v>46023</v>
      </c>
      <c r="AU12" s="43">
        <v>3.6799999999999999E-2</v>
      </c>
      <c r="AV12" s="43">
        <v>0.14579999999999999</v>
      </c>
      <c r="AW12" s="43">
        <v>3.9599999999999996E-2</v>
      </c>
      <c r="AX12" s="43">
        <v>0.1578</v>
      </c>
      <c r="AZ12" s="32">
        <v>46023</v>
      </c>
      <c r="BA12" s="83">
        <v>6.0100000000000001E-2</v>
      </c>
      <c r="BB12" s="83">
        <v>0.22220000000000001</v>
      </c>
      <c r="BC12" s="83">
        <v>1.0500000000000009E-2</v>
      </c>
      <c r="BD12" s="83">
        <v>0.18060000000000001</v>
      </c>
    </row>
    <row r="13" spans="1:56">
      <c r="A13" t="s">
        <v>50</v>
      </c>
      <c r="B13" t="s">
        <v>59</v>
      </c>
      <c r="C13" s="24">
        <v>0</v>
      </c>
      <c r="D13" s="24">
        <v>1.0500000000000001E-2</v>
      </c>
      <c r="E13" s="24">
        <v>1.9E-2</v>
      </c>
      <c r="F13" s="45">
        <v>4.3799999999999999E-2</v>
      </c>
      <c r="G13" s="45">
        <v>5.7200000000000001E-2</v>
      </c>
      <c r="H13" s="45">
        <v>7.8399999999999997E-2</v>
      </c>
      <c r="I13" s="45">
        <v>0.15110000000000001</v>
      </c>
      <c r="J13" s="45">
        <v>0.21010000000000001</v>
      </c>
      <c r="K13" s="45">
        <v>0.25509999999999999</v>
      </c>
      <c r="L13" s="45">
        <v>0.29430000000000001</v>
      </c>
      <c r="M13" s="24">
        <v>0.36919378396080255</v>
      </c>
      <c r="N13" s="128">
        <v>0.38255764536724213</v>
      </c>
      <c r="O13" s="49">
        <v>0.4068102992477835</v>
      </c>
      <c r="P13" s="24"/>
      <c r="Q13" s="24"/>
      <c r="R13" s="24"/>
      <c r="S13" s="24"/>
      <c r="T13" s="24"/>
      <c r="U13" s="24"/>
      <c r="V13" s="24"/>
      <c r="W13" s="24"/>
      <c r="X13" s="24"/>
      <c r="Y13" s="24"/>
      <c r="AB13" s="30">
        <v>46054</v>
      </c>
      <c r="AC13" s="43">
        <v>4.2299999999999997E-2</v>
      </c>
      <c r="AD13" s="43">
        <v>0.25970000000000004</v>
      </c>
      <c r="AE13" s="43">
        <v>5.9600000000000014E-2</v>
      </c>
      <c r="AF13" s="43">
        <v>0.27710000000000001</v>
      </c>
      <c r="AH13" s="32">
        <v>46054</v>
      </c>
      <c r="AI13" s="43">
        <v>5.45E-2</v>
      </c>
      <c r="AJ13" s="43">
        <v>0.36809999999999998</v>
      </c>
      <c r="AK13" s="43">
        <v>7.489378396080254E-2</v>
      </c>
      <c r="AL13" s="43">
        <v>0.36919378396080255</v>
      </c>
      <c r="AN13" s="32">
        <v>46054</v>
      </c>
      <c r="AO13" s="43">
        <v>3.27E-2</v>
      </c>
      <c r="AP13" s="43">
        <v>0.22470000000000001</v>
      </c>
      <c r="AQ13" s="43">
        <v>3.5547406427021172E-2</v>
      </c>
      <c r="AR13" s="43">
        <v>0.22764740642702117</v>
      </c>
      <c r="AT13" s="32">
        <v>46054</v>
      </c>
      <c r="AU13" s="43">
        <v>2.3E-2</v>
      </c>
      <c r="AV13" s="43">
        <v>0.16879999999999998</v>
      </c>
      <c r="AW13" s="43">
        <v>3.6739815811616894E-2</v>
      </c>
      <c r="AX13" s="43">
        <v>0.19453981581161689</v>
      </c>
      <c r="AZ13" s="32">
        <v>46054</v>
      </c>
      <c r="BA13" s="83">
        <v>5.5899999999999998E-2</v>
      </c>
      <c r="BB13" s="83">
        <v>0.27810000000000001</v>
      </c>
      <c r="BC13" s="83" t="str">
        <v/>
      </c>
      <c r="BD13" s="83" t="str">
        <v/>
      </c>
    </row>
    <row r="14" spans="1:56">
      <c r="H14" s="48"/>
      <c r="AB14" s="30">
        <v>46082</v>
      </c>
      <c r="AC14" s="43">
        <v>5.8200000000000002E-2</v>
      </c>
      <c r="AD14" s="43">
        <v>0.31790000000000007</v>
      </c>
      <c r="AE14" s="43">
        <v>4.6300000000000008E-2</v>
      </c>
      <c r="AF14" s="43">
        <v>0.32340000000000002</v>
      </c>
      <c r="AH14" s="32">
        <v>46082</v>
      </c>
      <c r="AI14" s="43">
        <v>9.1000000000000004E-3</v>
      </c>
      <c r="AJ14" s="43">
        <v>0.37719999999999998</v>
      </c>
      <c r="AK14" s="43">
        <v>1.3363861406439581E-2</v>
      </c>
      <c r="AL14" s="43">
        <v>0.38255764536724213</v>
      </c>
      <c r="AN14" s="32">
        <v>46082</v>
      </c>
      <c r="AO14" s="43">
        <v>2.1299999999999999E-2</v>
      </c>
      <c r="AP14" s="43">
        <v>0.246</v>
      </c>
      <c r="AQ14" s="43">
        <v>2.46996992172476E-2</v>
      </c>
      <c r="AR14" s="43">
        <v>0.25234710564426877</v>
      </c>
      <c r="AT14" s="32">
        <v>46082</v>
      </c>
      <c r="AU14" s="43">
        <v>6.6500000000000004E-2</v>
      </c>
      <c r="AV14" s="43">
        <v>0.23529999999999998</v>
      </c>
      <c r="AW14" s="43">
        <v>5.0079384678178962E-2</v>
      </c>
      <c r="AX14" s="43">
        <v>0.24461920048979585</v>
      </c>
      <c r="AZ14" s="32">
        <v>46082</v>
      </c>
      <c r="BA14" s="83">
        <v>6.2700000000000006E-2</v>
      </c>
      <c r="BB14" s="83">
        <v>0.34079999999999999</v>
      </c>
      <c r="BC14" s="83" t="str">
        <v/>
      </c>
      <c r="BD14" s="83" t="str">
        <v/>
      </c>
    </row>
    <row r="15" spans="1:56">
      <c r="AB15" s="30">
        <v>46113</v>
      </c>
      <c r="AC15" s="43">
        <v>3.4200000000000001E-2</v>
      </c>
      <c r="AD15" s="43">
        <v>0.35210000000000008</v>
      </c>
      <c r="AE15" s="43">
        <v>3.009999999999996E-2</v>
      </c>
      <c r="AF15" s="43">
        <v>0.35349999999999998</v>
      </c>
      <c r="AH15" s="32">
        <v>46113</v>
      </c>
      <c r="AI15" s="43">
        <v>2.5499999999999998E-2</v>
      </c>
      <c r="AJ15" s="43">
        <v>0.4027</v>
      </c>
      <c r="AK15" s="43">
        <v>2.4252653880541375E-2</v>
      </c>
      <c r="AL15" s="43">
        <v>0.4068102992477835</v>
      </c>
      <c r="AN15" s="32">
        <v>46113</v>
      </c>
      <c r="AO15" s="43">
        <v>2.98E-2</v>
      </c>
      <c r="AP15" s="43">
        <v>0.27579999999999999</v>
      </c>
      <c r="AQ15" s="43">
        <v>2.7221149273158496E-2</v>
      </c>
      <c r="AR15" s="43">
        <v>0.27956825491742726</v>
      </c>
      <c r="AT15" s="32">
        <v>46113</v>
      </c>
      <c r="AU15" s="43">
        <v>3.3599999999999998E-2</v>
      </c>
      <c r="AV15" s="43">
        <v>0.26889999999999997</v>
      </c>
      <c r="AW15" s="43">
        <v>2.8015876935635842E-2</v>
      </c>
      <c r="AX15" s="43">
        <v>0.27263507742543169</v>
      </c>
      <c r="AZ15" s="32">
        <v>46113</v>
      </c>
      <c r="BA15" s="83">
        <v>5.7599999999999998E-2</v>
      </c>
      <c r="BB15" s="83">
        <v>0.39839999999999998</v>
      </c>
      <c r="BC15" s="83" t="str">
        <v/>
      </c>
      <c r="BD15" s="83" t="str">
        <v/>
      </c>
    </row>
    <row r="16" spans="1:56">
      <c r="A16" s="27" t="s">
        <v>51</v>
      </c>
      <c r="B16" t="s">
        <v>54</v>
      </c>
      <c r="C16" s="23">
        <v>45748</v>
      </c>
      <c r="D16" s="23">
        <v>45778</v>
      </c>
      <c r="E16" s="23">
        <v>45809</v>
      </c>
      <c r="F16" s="23">
        <v>45839</v>
      </c>
      <c r="G16" s="23">
        <v>45870</v>
      </c>
      <c r="H16" s="23">
        <v>45901</v>
      </c>
      <c r="I16" s="23">
        <v>45931</v>
      </c>
      <c r="J16" s="23">
        <v>45962</v>
      </c>
      <c r="K16" s="23">
        <v>45992</v>
      </c>
      <c r="L16" s="23">
        <v>46023</v>
      </c>
      <c r="M16" s="23">
        <v>46054</v>
      </c>
      <c r="N16" s="23">
        <v>46082</v>
      </c>
      <c r="O16" s="23">
        <v>46113</v>
      </c>
      <c r="P16" s="23">
        <v>46143</v>
      </c>
      <c r="Q16" s="23">
        <v>46174</v>
      </c>
      <c r="R16" s="23">
        <v>46204</v>
      </c>
      <c r="S16" s="23">
        <v>46235</v>
      </c>
      <c r="T16" s="23">
        <v>46266</v>
      </c>
      <c r="U16" s="23">
        <v>46296</v>
      </c>
      <c r="V16" s="23">
        <v>46327</v>
      </c>
      <c r="W16" s="23">
        <v>46357</v>
      </c>
      <c r="X16" s="19" t="s">
        <v>55</v>
      </c>
      <c r="AB16" s="30">
        <v>46143</v>
      </c>
      <c r="AC16" s="43">
        <v>5.9534785459740253E-2</v>
      </c>
      <c r="AD16" s="43">
        <v>0.4116347854597403</v>
      </c>
      <c r="AE16" s="43" t="str">
        <v/>
      </c>
      <c r="AF16" s="43" t="str">
        <v/>
      </c>
      <c r="AH16" s="32">
        <v>46143</v>
      </c>
      <c r="AI16" s="43">
        <v>4.5209984251049926E-2</v>
      </c>
      <c r="AJ16" s="43">
        <v>0.44790998425104994</v>
      </c>
      <c r="AK16" s="43" t="str">
        <v/>
      </c>
      <c r="AL16" s="43" t="str">
        <v/>
      </c>
      <c r="AN16" s="32">
        <v>46143</v>
      </c>
      <c r="AO16" s="43">
        <v>7.6596812791951116E-2</v>
      </c>
      <c r="AP16" s="43">
        <v>0.35239681279195112</v>
      </c>
      <c r="AQ16" s="43" t="str">
        <v/>
      </c>
      <c r="AR16" s="43" t="str">
        <v/>
      </c>
      <c r="AT16" s="32">
        <v>46143</v>
      </c>
      <c r="AU16" s="43">
        <v>6.2827060439560448E-2</v>
      </c>
      <c r="AV16" s="43">
        <v>0.33172706043956041</v>
      </c>
      <c r="AW16" s="43" t="str">
        <v/>
      </c>
      <c r="AX16" s="43" t="str">
        <v/>
      </c>
      <c r="AZ16" s="32">
        <v>46143</v>
      </c>
      <c r="BA16" s="83">
        <v>6.0100000000000001E-2</v>
      </c>
      <c r="BB16" s="83">
        <v>0.45849999999999996</v>
      </c>
      <c r="BC16" s="83" t="str">
        <v/>
      </c>
      <c r="BD16" s="83" t="str">
        <v/>
      </c>
    </row>
    <row r="17" spans="1:56">
      <c r="A17" t="s">
        <v>51</v>
      </c>
      <c r="B17" t="s">
        <v>56</v>
      </c>
      <c r="C17" s="86">
        <v>3.8999999999999998E-3</v>
      </c>
      <c r="D17" s="86">
        <v>6.1999999999999998E-3</v>
      </c>
      <c r="E17" s="86">
        <v>8.0000000000000002E-3</v>
      </c>
      <c r="F17" s="86">
        <v>7.9000000000000008E-3</v>
      </c>
      <c r="G17" s="86">
        <v>1.2500000000000001E-2</v>
      </c>
      <c r="H17" s="86">
        <v>2.29E-2</v>
      </c>
      <c r="I17" s="86">
        <v>2.1999999999999999E-2</v>
      </c>
      <c r="J17" s="86">
        <v>2.7199999999999998E-2</v>
      </c>
      <c r="K17" s="86">
        <v>2.69E-2</v>
      </c>
      <c r="L17" s="86">
        <v>5.45E-2</v>
      </c>
      <c r="M17" s="86">
        <v>3.27E-2</v>
      </c>
      <c r="N17" s="86">
        <v>2.1299999999999999E-2</v>
      </c>
      <c r="O17" s="86">
        <v>2.98E-2</v>
      </c>
      <c r="P17" s="86">
        <v>7.6596812791951116E-2</v>
      </c>
      <c r="Q17" s="86">
        <v>9.0968200862378737E-2</v>
      </c>
      <c r="R17" s="86">
        <v>8.9433611210923455E-2</v>
      </c>
      <c r="S17" s="86">
        <v>9.1854933165648592E-2</v>
      </c>
      <c r="T17" s="86">
        <v>9.6182098095580315E-2</v>
      </c>
      <c r="U17" s="86">
        <v>9.144215918074021E-2</v>
      </c>
      <c r="V17" s="86">
        <v>8.8060282069708951E-2</v>
      </c>
      <c r="W17" s="86">
        <v>9.9633911606180375E-2</v>
      </c>
      <c r="X17" s="24">
        <f>SUM(C17:W17)</f>
        <v>0.99997200898311178</v>
      </c>
      <c r="Y17" s="24"/>
      <c r="AB17" s="30">
        <v>46174</v>
      </c>
      <c r="AC17" s="43">
        <v>7.0314002069634382E-2</v>
      </c>
      <c r="AD17" s="43">
        <v>0.4819487875293747</v>
      </c>
      <c r="AE17" s="43" t="str">
        <v/>
      </c>
      <c r="AF17" s="43" t="str">
        <v/>
      </c>
      <c r="AH17" s="32">
        <v>46174</v>
      </c>
      <c r="AI17" s="43">
        <v>5.8723647340177321E-2</v>
      </c>
      <c r="AJ17" s="43">
        <v>0.50663363159122721</v>
      </c>
      <c r="AK17" s="43" t="str">
        <v/>
      </c>
      <c r="AL17" s="43" t="str">
        <v/>
      </c>
      <c r="AN17" s="32">
        <v>46174</v>
      </c>
      <c r="AO17" s="43">
        <v>9.0968200862378737E-2</v>
      </c>
      <c r="AP17" s="43">
        <v>0.44336501365432984</v>
      </c>
      <c r="AQ17" s="43" t="str">
        <v/>
      </c>
      <c r="AR17" s="43" t="str">
        <v/>
      </c>
      <c r="AT17" s="32">
        <v>46174</v>
      </c>
      <c r="AU17" s="43">
        <v>9.3548540031397176E-2</v>
      </c>
      <c r="AV17" s="43">
        <v>0.42527560047095758</v>
      </c>
      <c r="AW17" s="43" t="str">
        <v/>
      </c>
      <c r="AX17" s="43" t="str">
        <v/>
      </c>
      <c r="AZ17" s="32">
        <v>46174</v>
      </c>
      <c r="BA17" s="83">
        <v>7.7100000000000002E-2</v>
      </c>
      <c r="BB17" s="83">
        <v>0.53559999999999997</v>
      </c>
      <c r="BC17" s="83" t="str">
        <v/>
      </c>
      <c r="BD17" s="83" t="str">
        <v/>
      </c>
    </row>
    <row r="18" spans="1:56">
      <c r="A18" t="s">
        <v>51</v>
      </c>
      <c r="B18" t="s">
        <v>57</v>
      </c>
      <c r="C18" s="24">
        <f>C17</f>
        <v>3.8999999999999998E-3</v>
      </c>
      <c r="D18" s="24">
        <f>C18+D17</f>
        <v>1.01E-2</v>
      </c>
      <c r="E18" s="24">
        <f t="shared" ref="E18:W18" si="5">D18+E17</f>
        <v>1.8099999999999998E-2</v>
      </c>
      <c r="F18" s="24">
        <f t="shared" si="5"/>
        <v>2.5999999999999999E-2</v>
      </c>
      <c r="G18" s="24">
        <f t="shared" si="5"/>
        <v>3.85E-2</v>
      </c>
      <c r="H18" s="24">
        <f t="shared" si="5"/>
        <v>6.1399999999999996E-2</v>
      </c>
      <c r="I18" s="24">
        <f t="shared" si="5"/>
        <v>8.3400000000000002E-2</v>
      </c>
      <c r="J18" s="24">
        <f t="shared" si="5"/>
        <v>0.1106</v>
      </c>
      <c r="K18" s="24">
        <f t="shared" si="5"/>
        <v>0.13750000000000001</v>
      </c>
      <c r="L18" s="24">
        <f t="shared" si="5"/>
        <v>0.192</v>
      </c>
      <c r="M18" s="24">
        <f t="shared" si="5"/>
        <v>0.22470000000000001</v>
      </c>
      <c r="N18" s="24">
        <f t="shared" si="5"/>
        <v>0.246</v>
      </c>
      <c r="O18" s="24">
        <f t="shared" si="5"/>
        <v>0.27579999999999999</v>
      </c>
      <c r="P18" s="24">
        <f t="shared" si="5"/>
        <v>0.35239681279195112</v>
      </c>
      <c r="Q18" s="24">
        <f t="shared" si="5"/>
        <v>0.44336501365432984</v>
      </c>
      <c r="R18" s="24">
        <f t="shared" si="5"/>
        <v>0.53279862486525331</v>
      </c>
      <c r="S18" s="24">
        <f t="shared" si="5"/>
        <v>0.62465355803090195</v>
      </c>
      <c r="T18" s="24">
        <f t="shared" si="5"/>
        <v>0.72083565612648226</v>
      </c>
      <c r="U18" s="24">
        <f t="shared" si="5"/>
        <v>0.81227781530722243</v>
      </c>
      <c r="V18" s="24">
        <f t="shared" si="5"/>
        <v>0.90033809737693138</v>
      </c>
      <c r="W18" s="24">
        <f t="shared" si="5"/>
        <v>0.99997200898311178</v>
      </c>
      <c r="X18" s="24"/>
      <c r="Y18" s="24"/>
      <c r="AB18" s="30">
        <v>46204</v>
      </c>
      <c r="AC18" s="43">
        <v>7.9217427155394898E-2</v>
      </c>
      <c r="AD18" s="43">
        <v>0.56116621468476957</v>
      </c>
      <c r="AE18" s="43" t="str">
        <v/>
      </c>
      <c r="AF18" s="43" t="str">
        <v/>
      </c>
      <c r="AH18" s="32">
        <v>46204</v>
      </c>
      <c r="AI18" s="43">
        <v>8.0306391157256185E-2</v>
      </c>
      <c r="AJ18" s="43">
        <v>0.58694002274848334</v>
      </c>
      <c r="AK18" s="43" t="str">
        <v/>
      </c>
      <c r="AL18" s="43" t="str">
        <v/>
      </c>
      <c r="AN18" s="32">
        <v>46204</v>
      </c>
      <c r="AO18" s="43">
        <v>8.9433611210923455E-2</v>
      </c>
      <c r="AP18" s="43">
        <v>0.53279862486525331</v>
      </c>
      <c r="AQ18" s="43" t="str">
        <v/>
      </c>
      <c r="AR18" s="43" t="str">
        <v/>
      </c>
      <c r="AT18" s="32">
        <v>46204</v>
      </c>
      <c r="AU18" s="43">
        <v>7.5222397959183673E-2</v>
      </c>
      <c r="AV18" s="43">
        <v>0.5004979984301412</v>
      </c>
      <c r="AW18" s="43" t="str">
        <v/>
      </c>
      <c r="AX18" s="43" t="str">
        <v/>
      </c>
      <c r="AZ18" s="32">
        <v>46204</v>
      </c>
      <c r="BA18" s="83">
        <v>3.8300000000000001E-2</v>
      </c>
      <c r="BB18" s="83">
        <v>0.57389999999999997</v>
      </c>
      <c r="BC18" s="83" t="str">
        <v/>
      </c>
      <c r="BD18" s="83" t="str">
        <v/>
      </c>
    </row>
    <row r="19" spans="1:56">
      <c r="A19" t="s">
        <v>51</v>
      </c>
      <c r="B19" t="s">
        <v>58</v>
      </c>
      <c r="C19" s="24">
        <v>3.8999999999999998E-3</v>
      </c>
      <c r="D19" s="24">
        <v>8.3000000000000018E-3</v>
      </c>
      <c r="E19" s="24">
        <v>7.899999999999999E-3</v>
      </c>
      <c r="F19" s="45">
        <v>1.6199999999999999E-2</v>
      </c>
      <c r="G19" s="45">
        <f t="shared" ref="G19:O19" si="6">G20-F20</f>
        <v>1.6600000000000004E-2</v>
      </c>
      <c r="H19" s="45">
        <f t="shared" si="6"/>
        <v>2.4800000000000003E-2</v>
      </c>
      <c r="I19" s="45">
        <f t="shared" si="6"/>
        <v>2.0199999999999996E-2</v>
      </c>
      <c r="J19" s="45">
        <f t="shared" si="6"/>
        <v>1.9799999999999998E-2</v>
      </c>
      <c r="K19" s="45">
        <f t="shared" si="6"/>
        <v>1.5199999999999991E-2</v>
      </c>
      <c r="L19" s="45">
        <f t="shared" si="6"/>
        <v>5.9200000000000003E-2</v>
      </c>
      <c r="M19" s="45">
        <f t="shared" si="6"/>
        <v>3.5547406427021172E-2</v>
      </c>
      <c r="N19" s="45">
        <f t="shared" si="6"/>
        <v>2.46996992172476E-2</v>
      </c>
      <c r="O19" s="45">
        <f t="shared" si="6"/>
        <v>2.7221149273158496E-2</v>
      </c>
      <c r="P19" s="24"/>
      <c r="Q19" s="24"/>
      <c r="R19" s="24"/>
      <c r="S19" s="24"/>
      <c r="T19" s="24"/>
      <c r="U19" s="24"/>
      <c r="V19" s="24"/>
      <c r="W19" s="24"/>
      <c r="X19" s="24"/>
      <c r="Y19" s="24"/>
      <c r="AB19" s="30">
        <v>46235</v>
      </c>
      <c r="AC19" s="43">
        <v>7.553021273566432E-2</v>
      </c>
      <c r="AD19" s="43">
        <v>0.63669642742043386</v>
      </c>
      <c r="AE19" s="43" t="str">
        <v/>
      </c>
      <c r="AF19" s="43" t="str">
        <v/>
      </c>
      <c r="AH19" s="32">
        <v>46235</v>
      </c>
      <c r="AI19" s="43">
        <v>0.10444288205786281</v>
      </c>
      <c r="AJ19" s="43">
        <v>0.69138290480634612</v>
      </c>
      <c r="AK19" s="43" t="str">
        <v/>
      </c>
      <c r="AL19" s="43" t="str">
        <v/>
      </c>
      <c r="AN19" s="32">
        <v>46235</v>
      </c>
      <c r="AO19" s="43">
        <v>9.1854933165648592E-2</v>
      </c>
      <c r="AP19" s="43">
        <v>0.62465355803090195</v>
      </c>
      <c r="AQ19" s="43" t="str">
        <v/>
      </c>
      <c r="AR19" s="43" t="str">
        <v/>
      </c>
      <c r="AT19" s="32">
        <v>46235</v>
      </c>
      <c r="AU19" s="43">
        <v>0.12951334379905807</v>
      </c>
      <c r="AV19" s="43">
        <v>0.6300113422291993</v>
      </c>
      <c r="AW19" s="43" t="str">
        <v/>
      </c>
      <c r="AX19" s="43" t="str">
        <v/>
      </c>
      <c r="AZ19" s="32">
        <v>46235</v>
      </c>
      <c r="BA19" s="83">
        <v>3.7100000000000001E-2</v>
      </c>
      <c r="BB19" s="83">
        <v>0.61099999999999999</v>
      </c>
      <c r="BC19" s="83" t="str">
        <v/>
      </c>
      <c r="BD19" s="83" t="str">
        <v/>
      </c>
    </row>
    <row r="20" spans="1:56">
      <c r="A20" t="s">
        <v>51</v>
      </c>
      <c r="B20" t="s">
        <v>59</v>
      </c>
      <c r="C20" s="24">
        <v>3.8999999999999998E-3</v>
      </c>
      <c r="D20" s="24">
        <v>1.2200000000000001E-2</v>
      </c>
      <c r="E20" s="24">
        <v>2.01E-2</v>
      </c>
      <c r="F20" s="45">
        <v>3.6299999999999999E-2</v>
      </c>
      <c r="G20" s="45">
        <v>5.2900000000000003E-2</v>
      </c>
      <c r="H20" s="45">
        <v>7.7700000000000005E-2</v>
      </c>
      <c r="I20" s="45">
        <v>9.7900000000000001E-2</v>
      </c>
      <c r="J20" s="45">
        <v>0.1177</v>
      </c>
      <c r="K20" s="45">
        <v>0.13289999999999999</v>
      </c>
      <c r="L20" s="45">
        <v>0.19209999999999999</v>
      </c>
      <c r="M20" s="128">
        <v>0.22764740642702117</v>
      </c>
      <c r="N20" s="128">
        <v>0.25234710564426877</v>
      </c>
      <c r="O20" s="49">
        <v>0.27956825491742726</v>
      </c>
      <c r="P20" s="24"/>
      <c r="Q20" s="24"/>
      <c r="R20" s="24"/>
      <c r="S20" s="24"/>
      <c r="T20" s="24"/>
      <c r="U20" s="24"/>
      <c r="V20" s="24"/>
      <c r="W20" s="24"/>
      <c r="X20" s="24"/>
      <c r="Y20" s="24"/>
      <c r="AB20" s="30">
        <v>46266</v>
      </c>
      <c r="AC20" s="43">
        <v>0.12953193729711612</v>
      </c>
      <c r="AD20" s="43">
        <v>0.76622836471754996</v>
      </c>
      <c r="AE20" s="43" t="str">
        <v/>
      </c>
      <c r="AF20" s="43" t="str">
        <v/>
      </c>
      <c r="AH20" s="32">
        <v>46266</v>
      </c>
      <c r="AI20" s="43">
        <v>0.13974388882407843</v>
      </c>
      <c r="AJ20" s="43">
        <v>0.83112679363042452</v>
      </c>
      <c r="AK20" s="43" t="str">
        <v/>
      </c>
      <c r="AL20" s="43" t="str">
        <v/>
      </c>
      <c r="AN20" s="32">
        <v>46266</v>
      </c>
      <c r="AO20" s="43">
        <v>9.6182098095580315E-2</v>
      </c>
      <c r="AP20" s="43">
        <v>0.72083565612648226</v>
      </c>
      <c r="AQ20" s="43" t="str">
        <v/>
      </c>
      <c r="AR20" s="43" t="str">
        <v/>
      </c>
      <c r="AT20" s="32">
        <v>46266</v>
      </c>
      <c r="AU20" s="43">
        <v>0.21687598116169549</v>
      </c>
      <c r="AV20" s="43">
        <v>0.84688732339089479</v>
      </c>
      <c r="AW20" s="43" t="str">
        <v/>
      </c>
      <c r="AX20" s="43" t="str">
        <v/>
      </c>
      <c r="AZ20" s="32">
        <v>46266</v>
      </c>
      <c r="BA20" s="83">
        <v>0.18479999999999999</v>
      </c>
      <c r="BB20" s="83">
        <v>0.79579999999999995</v>
      </c>
      <c r="BC20" s="83" t="str">
        <v/>
      </c>
      <c r="BD20" s="83" t="str">
        <v/>
      </c>
    </row>
    <row r="21" spans="1:56">
      <c r="AB21" s="30">
        <v>46296</v>
      </c>
      <c r="AC21" s="43">
        <v>7.9063006046898629E-2</v>
      </c>
      <c r="AD21" s="43">
        <v>0.8452913707644486</v>
      </c>
      <c r="AE21" s="43" t="str">
        <v/>
      </c>
      <c r="AF21" s="43" t="str">
        <v/>
      </c>
      <c r="AH21" s="32">
        <v>46296</v>
      </c>
      <c r="AI21" s="43">
        <v>9.057862809146057E-2</v>
      </c>
      <c r="AJ21" s="43">
        <v>0.92170542172188508</v>
      </c>
      <c r="AK21" s="43" t="str">
        <v/>
      </c>
      <c r="AL21" s="43" t="str">
        <v/>
      </c>
      <c r="AN21" s="32">
        <v>46296</v>
      </c>
      <c r="AO21" s="43">
        <v>9.144215918074021E-2</v>
      </c>
      <c r="AP21" s="43">
        <v>0.81227781530722243</v>
      </c>
      <c r="AQ21" s="43" t="str">
        <v/>
      </c>
      <c r="AR21" s="43" t="str">
        <v/>
      </c>
      <c r="AT21" s="32">
        <v>46296</v>
      </c>
      <c r="AU21" s="43">
        <v>0.15315122448979601</v>
      </c>
      <c r="AV21" s="43">
        <v>1.0000385478806908</v>
      </c>
      <c r="AW21" s="43" t="str">
        <v/>
      </c>
      <c r="AX21" s="43" t="str">
        <v/>
      </c>
      <c r="AZ21" s="32">
        <v>46296</v>
      </c>
      <c r="BA21" s="83">
        <v>9.3600000000000003E-2</v>
      </c>
      <c r="BB21" s="83">
        <v>0.88939999999999997</v>
      </c>
      <c r="BC21" s="83" t="str">
        <v/>
      </c>
      <c r="BD21" s="83" t="str">
        <v/>
      </c>
    </row>
    <row r="22" spans="1:56">
      <c r="AB22" s="30">
        <v>46327</v>
      </c>
      <c r="AC22" s="43">
        <v>7.7601784146798761E-2</v>
      </c>
      <c r="AD22" s="43">
        <v>0.92289315491124735</v>
      </c>
      <c r="AE22" s="43" t="str">
        <v/>
      </c>
      <c r="AF22" s="43" t="str">
        <v/>
      </c>
      <c r="AH22" s="32">
        <v>46327</v>
      </c>
      <c r="AI22" s="43">
        <v>7.8329444703686427E-2</v>
      </c>
      <c r="AJ22" s="43">
        <v>1.0000348664255716</v>
      </c>
      <c r="AK22" s="43" t="str">
        <v/>
      </c>
      <c r="AL22" s="43" t="str">
        <v/>
      </c>
      <c r="AN22" s="32">
        <v>46327</v>
      </c>
      <c r="AO22" s="43">
        <v>8.8060282069708951E-2</v>
      </c>
      <c r="AP22" s="43">
        <v>0.90033809737693138</v>
      </c>
      <c r="AQ22" s="43" t="str">
        <v/>
      </c>
      <c r="AR22" s="43" t="str">
        <v/>
      </c>
      <c r="AT22" s="32">
        <v>46327</v>
      </c>
      <c r="AU22" s="43" t="str">
        <v/>
      </c>
      <c r="AV22" s="43" t="str">
        <v/>
      </c>
      <c r="AW22" s="43" t="str">
        <v/>
      </c>
      <c r="AX22" s="43" t="str">
        <v/>
      </c>
      <c r="AZ22" s="32">
        <v>46327</v>
      </c>
      <c r="BA22" s="83">
        <v>8.5099999999999995E-2</v>
      </c>
      <c r="BB22" s="83">
        <v>0.97449999999999992</v>
      </c>
      <c r="BC22" s="83" t="str">
        <v/>
      </c>
      <c r="BD22" s="83" t="str">
        <v/>
      </c>
    </row>
    <row r="23" spans="1:56">
      <c r="A23" s="28" t="s">
        <v>52</v>
      </c>
      <c r="B23" t="s">
        <v>54</v>
      </c>
      <c r="C23" s="23"/>
      <c r="D23" s="23"/>
      <c r="E23" s="23">
        <v>45809</v>
      </c>
      <c r="F23" s="23">
        <v>45839</v>
      </c>
      <c r="G23" s="23">
        <v>45870</v>
      </c>
      <c r="H23" s="23">
        <v>45901</v>
      </c>
      <c r="I23" s="23">
        <v>45931</v>
      </c>
      <c r="J23" s="23">
        <v>45962</v>
      </c>
      <c r="K23" s="23">
        <v>45992</v>
      </c>
      <c r="L23" s="23">
        <v>46023</v>
      </c>
      <c r="M23" s="23">
        <v>46054</v>
      </c>
      <c r="N23" s="23">
        <v>46082</v>
      </c>
      <c r="O23" s="23">
        <v>46113</v>
      </c>
      <c r="P23" s="23">
        <v>46143</v>
      </c>
      <c r="Q23" s="23">
        <v>46174</v>
      </c>
      <c r="R23" s="23">
        <v>46204</v>
      </c>
      <c r="S23" s="23">
        <v>46235</v>
      </c>
      <c r="T23" s="23">
        <v>46266</v>
      </c>
      <c r="U23" s="23">
        <v>46296</v>
      </c>
      <c r="V23" s="23">
        <v>46327</v>
      </c>
      <c r="W23" s="23">
        <v>46357</v>
      </c>
      <c r="X23" s="19" t="s">
        <v>55</v>
      </c>
      <c r="AB23" s="30">
        <v>46357</v>
      </c>
      <c r="AC23" s="43">
        <v>7.7088541045253936E-2</v>
      </c>
      <c r="AD23" s="43">
        <v>0.99998169595650133</v>
      </c>
      <c r="AE23" s="43" t="str">
        <v/>
      </c>
      <c r="AF23" s="43" t="str">
        <v/>
      </c>
      <c r="AH23" s="32">
        <v>46357</v>
      </c>
      <c r="AI23" s="43" t="str">
        <v/>
      </c>
      <c r="AJ23" s="43" t="str">
        <v/>
      </c>
      <c r="AK23" s="43" t="str">
        <v/>
      </c>
      <c r="AL23" s="43" t="str">
        <v/>
      </c>
      <c r="AN23" s="32">
        <v>46357</v>
      </c>
      <c r="AO23" s="43">
        <v>9.9633911606180375E-2</v>
      </c>
      <c r="AP23" s="43">
        <v>0.99997200898311178</v>
      </c>
      <c r="AQ23" s="43" t="str">
        <v/>
      </c>
      <c r="AR23" s="43" t="str">
        <v/>
      </c>
      <c r="AT23" s="32">
        <v>46357</v>
      </c>
      <c r="AU23" s="43" t="str">
        <v/>
      </c>
      <c r="AV23" s="43" t="str">
        <v/>
      </c>
      <c r="AW23" s="43" t="str">
        <v/>
      </c>
      <c r="AX23" s="43" t="str">
        <v/>
      </c>
      <c r="AZ23" s="32">
        <v>46357</v>
      </c>
      <c r="BA23" s="83">
        <v>2.5499999999999998E-2</v>
      </c>
      <c r="BB23" s="83">
        <v>0.99999999999999989</v>
      </c>
      <c r="BC23" s="83" t="str">
        <v/>
      </c>
      <c r="BD23" s="83" t="str">
        <v/>
      </c>
    </row>
    <row r="24" spans="1:56">
      <c r="A24" t="s">
        <v>52</v>
      </c>
      <c r="B24" t="s">
        <v>56</v>
      </c>
      <c r="C24" s="24"/>
      <c r="D24" s="24"/>
      <c r="E24" s="86">
        <v>1.77E-2</v>
      </c>
      <c r="F24" s="86">
        <v>3.9199999999999999E-2</v>
      </c>
      <c r="G24" s="86">
        <v>3.2000000000000002E-3</v>
      </c>
      <c r="H24" s="24">
        <v>6.1999999999999998E-3</v>
      </c>
      <c r="I24" s="86">
        <v>9.2999999999999992E-3</v>
      </c>
      <c r="J24" s="86">
        <v>7.7000000000000002E-3</v>
      </c>
      <c r="K24" s="86">
        <v>2.5700000000000001E-2</v>
      </c>
      <c r="L24" s="86">
        <v>3.6799999999999999E-2</v>
      </c>
      <c r="M24" s="86">
        <v>2.3E-2</v>
      </c>
      <c r="N24" s="86">
        <v>6.6500000000000004E-2</v>
      </c>
      <c r="O24" s="86">
        <v>3.3599999999999998E-2</v>
      </c>
      <c r="P24" s="86">
        <v>6.2827060439560448E-2</v>
      </c>
      <c r="Q24" s="86">
        <v>9.3548540031397176E-2</v>
      </c>
      <c r="R24" s="86">
        <v>7.5222397959183673E-2</v>
      </c>
      <c r="S24" s="86">
        <v>0.12951334379905807</v>
      </c>
      <c r="T24" s="86">
        <v>0.21687598116169549</v>
      </c>
      <c r="U24" s="86">
        <v>0.15315122448979601</v>
      </c>
      <c r="V24" s="24"/>
      <c r="W24" s="24"/>
      <c r="X24" s="24">
        <f>SUM(C24:W24)</f>
        <v>1.0000385478806908</v>
      </c>
      <c r="Y24" s="24"/>
      <c r="AC24" s="41"/>
      <c r="AD24" s="41"/>
      <c r="AE24" s="41"/>
      <c r="AF24" s="41"/>
      <c r="AI24" s="41"/>
      <c r="AJ24" s="41"/>
      <c r="AK24" s="41"/>
      <c r="AL24" s="41"/>
      <c r="AO24" s="41"/>
      <c r="AP24" s="41"/>
      <c r="AQ24" s="41"/>
      <c r="AR24" s="41"/>
      <c r="AU24" s="41"/>
      <c r="AV24" s="41"/>
      <c r="AW24" s="41"/>
      <c r="AX24" s="41"/>
    </row>
    <row r="25" spans="1:56">
      <c r="A25" t="s">
        <v>52</v>
      </c>
      <c r="B25" t="s">
        <v>57</v>
      </c>
      <c r="C25" s="24"/>
      <c r="D25" s="24"/>
      <c r="E25" s="24">
        <f>E24</f>
        <v>1.77E-2</v>
      </c>
      <c r="F25" s="24">
        <f>F24+E25</f>
        <v>5.6899999999999999E-2</v>
      </c>
      <c r="G25" s="24">
        <f t="shared" ref="G25:U25" si="7">G24+F25</f>
        <v>6.0100000000000001E-2</v>
      </c>
      <c r="H25" s="24">
        <f t="shared" si="7"/>
        <v>6.6299999999999998E-2</v>
      </c>
      <c r="I25" s="24">
        <f t="shared" si="7"/>
        <v>7.5600000000000001E-2</v>
      </c>
      <c r="J25" s="24">
        <f t="shared" si="7"/>
        <v>8.3299999999999999E-2</v>
      </c>
      <c r="K25" s="24">
        <f t="shared" si="7"/>
        <v>0.109</v>
      </c>
      <c r="L25" s="24">
        <f t="shared" si="7"/>
        <v>0.14579999999999999</v>
      </c>
      <c r="M25" s="24">
        <f t="shared" si="7"/>
        <v>0.16879999999999998</v>
      </c>
      <c r="N25" s="24">
        <f t="shared" si="7"/>
        <v>0.23529999999999998</v>
      </c>
      <c r="O25" s="24">
        <f t="shared" si="7"/>
        <v>0.26889999999999997</v>
      </c>
      <c r="P25" s="24">
        <f t="shared" si="7"/>
        <v>0.33172706043956041</v>
      </c>
      <c r="Q25" s="24">
        <f t="shared" si="7"/>
        <v>0.42527560047095758</v>
      </c>
      <c r="R25" s="24">
        <f t="shared" si="7"/>
        <v>0.5004979984301412</v>
      </c>
      <c r="S25" s="24">
        <f t="shared" si="7"/>
        <v>0.6300113422291993</v>
      </c>
      <c r="T25" s="24">
        <f t="shared" si="7"/>
        <v>0.84688732339089479</v>
      </c>
      <c r="U25" s="24">
        <f t="shared" si="7"/>
        <v>1.0000385478806908</v>
      </c>
      <c r="V25" s="24"/>
      <c r="W25" s="24"/>
      <c r="X25" s="24"/>
      <c r="Y25" s="24"/>
      <c r="AC25" s="41"/>
      <c r="AD25" s="41"/>
      <c r="AE25" s="41"/>
      <c r="AF25" s="41"/>
      <c r="AI25" s="41"/>
      <c r="AJ25" s="41"/>
      <c r="AK25" s="41"/>
      <c r="AL25" s="41"/>
      <c r="AO25" s="41"/>
      <c r="AP25" s="41"/>
      <c r="AQ25" s="41"/>
      <c r="AR25" s="41"/>
      <c r="AU25" s="41"/>
      <c r="AV25" s="41"/>
      <c r="AW25" s="41"/>
      <c r="AX25" s="41"/>
    </row>
    <row r="26" spans="1:56">
      <c r="A26" t="s">
        <v>52</v>
      </c>
      <c r="B26" t="s">
        <v>58</v>
      </c>
      <c r="C26" s="24"/>
      <c r="D26" s="24"/>
      <c r="E26" s="24">
        <v>1.5599999999999999E-2</v>
      </c>
      <c r="F26" s="45">
        <f>F27-E27</f>
        <v>4.3899999999999995E-2</v>
      </c>
      <c r="G26" s="45">
        <f t="shared" ref="G26:I26" si="8">G27-F27</f>
        <v>8.0000000000000071E-3</v>
      </c>
      <c r="H26" s="45">
        <f t="shared" si="8"/>
        <v>4.2999999999999983E-3</v>
      </c>
      <c r="I26" s="45">
        <f t="shared" si="8"/>
        <v>1.2799999999999992E-2</v>
      </c>
      <c r="J26" s="45">
        <f t="shared" ref="J26:O26" si="9">J27-I27</f>
        <v>1.3700000000000004E-2</v>
      </c>
      <c r="K26" s="45">
        <f t="shared" si="9"/>
        <v>1.9900000000000001E-2</v>
      </c>
      <c r="L26" s="45">
        <f t="shared" si="9"/>
        <v>3.9599999999999996E-2</v>
      </c>
      <c r="M26" s="45">
        <f t="shared" si="9"/>
        <v>3.6739815811616894E-2</v>
      </c>
      <c r="N26" s="45">
        <f t="shared" si="9"/>
        <v>5.0079384678178962E-2</v>
      </c>
      <c r="O26" s="45">
        <f t="shared" si="9"/>
        <v>2.8015876935635842E-2</v>
      </c>
      <c r="P26" s="24"/>
      <c r="Q26" s="24"/>
      <c r="R26" s="24"/>
      <c r="S26" s="24"/>
      <c r="T26" s="24"/>
      <c r="U26" s="24"/>
      <c r="V26" s="24"/>
      <c r="W26" s="24"/>
      <c r="X26" s="24"/>
      <c r="Y26" s="24"/>
      <c r="AC26" s="41"/>
      <c r="AD26" s="41"/>
      <c r="AE26" s="41"/>
      <c r="AF26" s="41"/>
      <c r="AI26" s="41"/>
      <c r="AJ26" s="41"/>
      <c r="AK26" s="41"/>
      <c r="AL26" s="41"/>
      <c r="AO26" s="41"/>
      <c r="AP26" s="41"/>
      <c r="AQ26" s="41"/>
      <c r="AR26" s="41"/>
      <c r="AU26" s="41"/>
      <c r="AV26" s="41"/>
      <c r="AW26" s="41"/>
      <c r="AX26" s="41"/>
    </row>
    <row r="27" spans="1:56">
      <c r="A27" t="s">
        <v>52</v>
      </c>
      <c r="B27" t="s">
        <v>59</v>
      </c>
      <c r="C27" s="24"/>
      <c r="D27" s="24"/>
      <c r="E27" s="24">
        <v>1.5599999999999999E-2</v>
      </c>
      <c r="F27" s="45">
        <v>5.9499999999999997E-2</v>
      </c>
      <c r="G27" s="45">
        <v>6.7500000000000004E-2</v>
      </c>
      <c r="H27" s="45">
        <v>7.1800000000000003E-2</v>
      </c>
      <c r="I27" s="45">
        <v>8.4599999999999995E-2</v>
      </c>
      <c r="J27" s="45">
        <v>9.8299999999999998E-2</v>
      </c>
      <c r="K27" s="45">
        <v>0.1182</v>
      </c>
      <c r="L27" s="45">
        <v>0.1578</v>
      </c>
      <c r="M27" s="128">
        <v>0.19453981581161689</v>
      </c>
      <c r="N27" s="128">
        <v>0.24461920048979585</v>
      </c>
      <c r="O27" s="49">
        <v>0.27263507742543169</v>
      </c>
      <c r="P27" s="24"/>
      <c r="Q27" s="24"/>
      <c r="R27" s="24"/>
      <c r="S27" s="24"/>
      <c r="T27" s="24"/>
      <c r="U27" s="24"/>
      <c r="V27" s="24"/>
      <c r="W27" s="24"/>
      <c r="X27" s="24"/>
      <c r="Y27" s="24"/>
      <c r="AC27" s="41"/>
      <c r="AD27" s="41"/>
      <c r="AE27" s="41"/>
      <c r="AF27" s="41"/>
      <c r="AI27" s="41"/>
      <c r="AJ27" s="41"/>
      <c r="AK27" s="41"/>
      <c r="AL27" s="41"/>
      <c r="AO27" s="41"/>
      <c r="AP27" s="41"/>
      <c r="AQ27" s="41"/>
      <c r="AR27" s="41"/>
      <c r="AU27" s="41"/>
      <c r="AV27" s="41"/>
      <c r="AW27" s="41"/>
      <c r="AX27" s="41"/>
    </row>
    <row r="30" spans="1:56">
      <c r="A30" s="109" t="s">
        <v>53</v>
      </c>
      <c r="B30" s="110" t="s">
        <v>54</v>
      </c>
      <c r="C30" s="111">
        <v>45748</v>
      </c>
      <c r="D30" s="111">
        <v>45778</v>
      </c>
      <c r="E30" s="111">
        <v>45809</v>
      </c>
      <c r="F30" s="111">
        <v>45839</v>
      </c>
      <c r="G30" s="111">
        <v>45870</v>
      </c>
      <c r="H30" s="111">
        <v>45901</v>
      </c>
      <c r="I30" s="111">
        <v>45931</v>
      </c>
      <c r="J30" s="111">
        <v>45962</v>
      </c>
      <c r="K30" s="111">
        <v>45992</v>
      </c>
      <c r="L30" s="111">
        <v>46023</v>
      </c>
      <c r="M30" s="111">
        <v>46054</v>
      </c>
      <c r="N30" s="111">
        <v>46082</v>
      </c>
      <c r="O30" s="111">
        <v>46113</v>
      </c>
      <c r="P30" s="111">
        <v>46143</v>
      </c>
      <c r="Q30" s="111">
        <v>46174</v>
      </c>
      <c r="R30" s="111">
        <v>46204</v>
      </c>
      <c r="S30" s="111">
        <v>46235</v>
      </c>
      <c r="T30" s="111">
        <v>46266</v>
      </c>
      <c r="U30" s="111">
        <v>46296</v>
      </c>
      <c r="V30" s="111">
        <v>46327</v>
      </c>
      <c r="W30" s="111">
        <v>46357</v>
      </c>
    </row>
    <row r="31" spans="1:56">
      <c r="A31" s="110" t="s">
        <v>53</v>
      </c>
      <c r="B31" s="110" t="s">
        <v>56</v>
      </c>
      <c r="C31" s="112"/>
      <c r="D31" s="112"/>
      <c r="E31" s="112"/>
      <c r="F31" s="112"/>
      <c r="G31" s="113">
        <v>1.9800000000000002E-2</v>
      </c>
      <c r="H31" s="113">
        <v>1.6199999999999999E-2</v>
      </c>
      <c r="I31" s="113">
        <v>4.0399999999999998E-2</v>
      </c>
      <c r="J31" s="113">
        <v>4.19E-2</v>
      </c>
      <c r="K31" s="113">
        <v>4.3799999999999999E-2</v>
      </c>
      <c r="L31" s="113">
        <v>6.0100000000000001E-2</v>
      </c>
      <c r="M31" s="113">
        <v>5.5899999999999998E-2</v>
      </c>
      <c r="N31" s="113">
        <v>6.2700000000000006E-2</v>
      </c>
      <c r="O31" s="113">
        <v>5.7599999999999998E-2</v>
      </c>
      <c r="P31" s="113">
        <v>6.0100000000000001E-2</v>
      </c>
      <c r="Q31" s="113">
        <v>7.7100000000000002E-2</v>
      </c>
      <c r="R31" s="113">
        <v>3.8300000000000001E-2</v>
      </c>
      <c r="S31" s="113">
        <v>3.7100000000000001E-2</v>
      </c>
      <c r="T31" s="113">
        <v>0.18479999999999999</v>
      </c>
      <c r="U31" s="113">
        <v>9.3600000000000003E-2</v>
      </c>
      <c r="V31" s="113">
        <v>8.5099999999999995E-2</v>
      </c>
      <c r="W31" s="113">
        <v>2.5499999999999998E-2</v>
      </c>
    </row>
    <row r="32" spans="1:56">
      <c r="A32" s="110" t="s">
        <v>53</v>
      </c>
      <c r="B32" s="110" t="s">
        <v>57</v>
      </c>
      <c r="C32" s="112"/>
      <c r="D32" s="112"/>
      <c r="E32" s="112"/>
      <c r="F32" s="112"/>
      <c r="G32" s="112">
        <f>G31</f>
        <v>1.9800000000000002E-2</v>
      </c>
      <c r="H32" s="112">
        <f>H31+G32</f>
        <v>3.6000000000000004E-2</v>
      </c>
      <c r="I32" s="112">
        <f t="shared" ref="I32:W32" si="10">I31+H32</f>
        <v>7.6399999999999996E-2</v>
      </c>
      <c r="J32" s="112">
        <f t="shared" si="10"/>
        <v>0.11829999999999999</v>
      </c>
      <c r="K32" s="112">
        <f t="shared" si="10"/>
        <v>0.16209999999999999</v>
      </c>
      <c r="L32" s="112">
        <f t="shared" si="10"/>
        <v>0.22220000000000001</v>
      </c>
      <c r="M32" s="112">
        <f t="shared" si="10"/>
        <v>0.27810000000000001</v>
      </c>
      <c r="N32" s="112">
        <f t="shared" si="10"/>
        <v>0.34079999999999999</v>
      </c>
      <c r="O32" s="112">
        <f t="shared" si="10"/>
        <v>0.39839999999999998</v>
      </c>
      <c r="P32" s="112">
        <f t="shared" si="10"/>
        <v>0.45849999999999996</v>
      </c>
      <c r="Q32" s="112">
        <f t="shared" si="10"/>
        <v>0.53559999999999997</v>
      </c>
      <c r="R32" s="112">
        <f t="shared" si="10"/>
        <v>0.57389999999999997</v>
      </c>
      <c r="S32" s="112">
        <f t="shared" si="10"/>
        <v>0.61099999999999999</v>
      </c>
      <c r="T32" s="112">
        <f t="shared" si="10"/>
        <v>0.79579999999999995</v>
      </c>
      <c r="U32" s="112">
        <f t="shared" si="10"/>
        <v>0.88939999999999997</v>
      </c>
      <c r="V32" s="112">
        <f t="shared" si="10"/>
        <v>0.97449999999999992</v>
      </c>
      <c r="W32" s="112">
        <f t="shared" si="10"/>
        <v>0.99999999999999989</v>
      </c>
    </row>
    <row r="33" spans="1:23">
      <c r="A33" s="110" t="s">
        <v>53</v>
      </c>
      <c r="B33" s="110" t="s">
        <v>58</v>
      </c>
      <c r="C33" s="112"/>
      <c r="D33" s="112"/>
      <c r="E33" s="112"/>
      <c r="F33" s="112"/>
      <c r="G33" s="112">
        <v>3.5000000000000003E-2</v>
      </c>
      <c r="H33" s="112">
        <f>H34-G34</f>
        <v>5.9999999999999984E-3</v>
      </c>
      <c r="I33" s="112">
        <f>I34-H34</f>
        <v>4.2900000000000001E-2</v>
      </c>
      <c r="J33" s="112">
        <f>J34-I34</f>
        <v>3.9699999999999999E-2</v>
      </c>
      <c r="K33" s="112">
        <f>K34-J34</f>
        <v>4.65E-2</v>
      </c>
      <c r="L33" s="112">
        <f>L34-K34</f>
        <v>1.0500000000000009E-2</v>
      </c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</row>
    <row r="34" spans="1:23">
      <c r="A34" s="110" t="s">
        <v>53</v>
      </c>
      <c r="B34" s="110" t="s">
        <v>59</v>
      </c>
      <c r="C34" s="112"/>
      <c r="D34" s="112"/>
      <c r="E34" s="112"/>
      <c r="F34" s="112"/>
      <c r="G34" s="112">
        <v>3.5000000000000003E-2</v>
      </c>
      <c r="H34" s="112">
        <v>4.1000000000000002E-2</v>
      </c>
      <c r="I34" s="112">
        <v>8.3900000000000002E-2</v>
      </c>
      <c r="J34" s="112">
        <v>0.1236</v>
      </c>
      <c r="K34" s="112">
        <v>0.1701</v>
      </c>
      <c r="L34" s="112">
        <v>0.18060000000000001</v>
      </c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C18B4-C9C7-4EA7-9F2E-D96E78FB294C}">
  <dimension ref="A1:I68"/>
  <sheetViews>
    <sheetView showGridLines="0" zoomScale="130" zoomScaleNormal="130" workbookViewId="0">
      <selection activeCell="D10" sqref="D10"/>
    </sheetView>
  </sheetViews>
  <sheetFormatPr defaultRowHeight="14.5"/>
  <cols>
    <col min="1" max="1" width="15.81640625" customWidth="1"/>
    <col min="2" max="2" width="23.54296875" customWidth="1"/>
    <col min="3" max="3" width="30" bestFit="1" customWidth="1"/>
    <col min="4" max="4" width="21" customWidth="1"/>
  </cols>
  <sheetData>
    <row r="1" spans="1:8">
      <c r="A1" t="s">
        <v>6</v>
      </c>
      <c r="B1" t="s">
        <v>15</v>
      </c>
      <c r="C1" t="s">
        <v>98</v>
      </c>
      <c r="D1" t="s">
        <v>99</v>
      </c>
      <c r="E1" t="s">
        <v>27</v>
      </c>
      <c r="F1" t="s">
        <v>29</v>
      </c>
    </row>
    <row r="2" spans="1:8">
      <c r="A2" t="s">
        <v>16</v>
      </c>
      <c r="B2" s="1" t="s">
        <v>10</v>
      </c>
      <c r="C2" t="s">
        <v>100</v>
      </c>
      <c r="D2" s="96">
        <v>14891</v>
      </c>
      <c r="E2">
        <v>1</v>
      </c>
      <c r="F2" s="22" t="s">
        <v>32</v>
      </c>
    </row>
    <row r="3" spans="1:8" ht="15" customHeight="1">
      <c r="A3" t="s">
        <v>16</v>
      </c>
      <c r="B3" s="1" t="s">
        <v>10</v>
      </c>
      <c r="C3" s="48" t="s">
        <v>101</v>
      </c>
      <c r="D3" s="97">
        <v>9102</v>
      </c>
      <c r="E3">
        <v>2</v>
      </c>
      <c r="F3" s="22" t="s">
        <v>32</v>
      </c>
      <c r="H3" s="10"/>
    </row>
    <row r="4" spans="1:8">
      <c r="A4" t="s">
        <v>16</v>
      </c>
      <c r="B4" s="1" t="s">
        <v>10</v>
      </c>
      <c r="C4" s="48" t="s">
        <v>102</v>
      </c>
      <c r="D4" s="97">
        <v>6450</v>
      </c>
      <c r="E4">
        <v>3</v>
      </c>
      <c r="F4" s="22" t="s">
        <v>32</v>
      </c>
    </row>
    <row r="5" spans="1:8">
      <c r="A5" t="s">
        <v>16</v>
      </c>
      <c r="B5" s="1" t="s">
        <v>10</v>
      </c>
      <c r="C5" s="48" t="s">
        <v>103</v>
      </c>
      <c r="D5" s="97">
        <v>6292</v>
      </c>
      <c r="E5">
        <v>4</v>
      </c>
      <c r="F5" s="22" t="s">
        <v>32</v>
      </c>
    </row>
    <row r="6" spans="1:8">
      <c r="A6" t="s">
        <v>16</v>
      </c>
      <c r="B6" s="1" t="s">
        <v>10</v>
      </c>
      <c r="C6" s="48" t="s">
        <v>104</v>
      </c>
      <c r="D6" s="96">
        <f>D7-D3</f>
        <v>5789</v>
      </c>
      <c r="E6">
        <v>5</v>
      </c>
      <c r="F6" s="22" t="s">
        <v>32</v>
      </c>
    </row>
    <row r="7" spans="1:8">
      <c r="A7" t="s">
        <v>16</v>
      </c>
      <c r="B7" s="1" t="s">
        <v>10</v>
      </c>
      <c r="C7" s="48" t="s">
        <v>105</v>
      </c>
      <c r="D7" s="96">
        <v>14891</v>
      </c>
      <c r="E7">
        <v>6</v>
      </c>
      <c r="F7" s="22" t="s">
        <v>32</v>
      </c>
    </row>
    <row r="8" spans="1:8">
      <c r="A8" s="114" t="s">
        <v>16</v>
      </c>
      <c r="B8" s="115" t="s">
        <v>10</v>
      </c>
      <c r="C8" s="114" t="s">
        <v>106</v>
      </c>
      <c r="D8" s="116">
        <v>6659</v>
      </c>
      <c r="E8" s="114">
        <v>7</v>
      </c>
      <c r="F8" s="117" t="s">
        <v>32</v>
      </c>
    </row>
    <row r="9" spans="1:8">
      <c r="A9" s="114" t="s">
        <v>16</v>
      </c>
      <c r="B9" s="115" t="s">
        <v>10</v>
      </c>
      <c r="C9" s="114" t="s">
        <v>178</v>
      </c>
      <c r="D9" s="116">
        <v>1401</v>
      </c>
      <c r="E9" s="114">
        <v>8</v>
      </c>
      <c r="F9" s="117" t="s">
        <v>32</v>
      </c>
    </row>
    <row r="10" spans="1:8">
      <c r="A10" s="114" t="s">
        <v>16</v>
      </c>
      <c r="B10" s="115" t="s">
        <v>10</v>
      </c>
      <c r="C10" s="114" t="s">
        <v>107</v>
      </c>
      <c r="D10" s="116">
        <v>13651</v>
      </c>
      <c r="E10" s="114">
        <v>9</v>
      </c>
      <c r="F10" s="117" t="s">
        <v>32</v>
      </c>
    </row>
    <row r="11" spans="1:8">
      <c r="A11" s="15" t="s">
        <v>21</v>
      </c>
      <c r="B11" s="1" t="s">
        <v>78</v>
      </c>
      <c r="C11" s="48" t="s">
        <v>100</v>
      </c>
      <c r="D11" s="96">
        <v>5480</v>
      </c>
      <c r="E11">
        <v>10</v>
      </c>
      <c r="F11" s="22" t="s">
        <v>32</v>
      </c>
    </row>
    <row r="12" spans="1:8">
      <c r="A12" s="15" t="s">
        <v>21</v>
      </c>
      <c r="B12" s="1" t="s">
        <v>78</v>
      </c>
      <c r="C12" s="48" t="s">
        <v>101</v>
      </c>
      <c r="D12" s="96">
        <v>3665</v>
      </c>
      <c r="E12">
        <v>11</v>
      </c>
      <c r="F12" s="22" t="s">
        <v>32</v>
      </c>
    </row>
    <row r="13" spans="1:8">
      <c r="A13" s="15" t="s">
        <v>21</v>
      </c>
      <c r="B13" s="1" t="s">
        <v>78</v>
      </c>
      <c r="C13" s="48" t="s">
        <v>102</v>
      </c>
      <c r="D13" s="97">
        <v>3306</v>
      </c>
      <c r="E13">
        <v>12</v>
      </c>
      <c r="F13" s="22" t="s">
        <v>32</v>
      </c>
    </row>
    <row r="14" spans="1:8">
      <c r="A14" s="15" t="s">
        <v>21</v>
      </c>
      <c r="B14" s="1" t="s">
        <v>78</v>
      </c>
      <c r="C14" s="48" t="s">
        <v>103</v>
      </c>
      <c r="D14" s="97">
        <v>2781</v>
      </c>
      <c r="E14">
        <v>13</v>
      </c>
      <c r="F14" s="22" t="s">
        <v>32</v>
      </c>
    </row>
    <row r="15" spans="1:8">
      <c r="A15" s="15" t="s">
        <v>21</v>
      </c>
      <c r="B15" s="1" t="s">
        <v>78</v>
      </c>
      <c r="C15" s="48" t="s">
        <v>104</v>
      </c>
      <c r="D15" s="96">
        <f>D16-D12</f>
        <v>2156.9924881343104</v>
      </c>
      <c r="E15">
        <v>14</v>
      </c>
      <c r="F15" s="22" t="s">
        <v>32</v>
      </c>
    </row>
    <row r="16" spans="1:8">
      <c r="A16" s="15" t="s">
        <v>21</v>
      </c>
      <c r="B16" s="1" t="s">
        <v>78</v>
      </c>
      <c r="C16" s="48" t="s">
        <v>105</v>
      </c>
      <c r="D16" s="97">
        <v>5821.9924881343104</v>
      </c>
      <c r="E16">
        <v>15</v>
      </c>
      <c r="F16" s="22" t="s">
        <v>32</v>
      </c>
    </row>
    <row r="17" spans="1:9">
      <c r="A17" s="118" t="s">
        <v>17</v>
      </c>
      <c r="B17" s="119" t="s">
        <v>18</v>
      </c>
      <c r="C17" s="114" t="s">
        <v>100</v>
      </c>
      <c r="D17" s="116">
        <v>3110</v>
      </c>
      <c r="E17" s="114">
        <v>16</v>
      </c>
      <c r="F17" s="117" t="s">
        <v>32</v>
      </c>
    </row>
    <row r="18" spans="1:9">
      <c r="A18" s="118" t="s">
        <v>17</v>
      </c>
      <c r="B18" s="119" t="s">
        <v>18</v>
      </c>
      <c r="C18" s="114" t="s">
        <v>101</v>
      </c>
      <c r="D18" s="116">
        <v>1901</v>
      </c>
      <c r="E18" s="114">
        <v>17</v>
      </c>
      <c r="F18" s="117" t="s">
        <v>32</v>
      </c>
    </row>
    <row r="19" spans="1:9">
      <c r="A19" s="118" t="s">
        <v>17</v>
      </c>
      <c r="B19" s="119" t="s">
        <v>18</v>
      </c>
      <c r="C19" s="114" t="s">
        <v>102</v>
      </c>
      <c r="D19" s="116">
        <v>1497</v>
      </c>
      <c r="E19" s="114">
        <v>18</v>
      </c>
      <c r="F19" s="117" t="s">
        <v>32</v>
      </c>
    </row>
    <row r="20" spans="1:9">
      <c r="A20" s="118" t="s">
        <v>17</v>
      </c>
      <c r="B20" s="119" t="s">
        <v>18</v>
      </c>
      <c r="C20" s="114" t="s">
        <v>103</v>
      </c>
      <c r="D20" s="116">
        <v>1497</v>
      </c>
      <c r="E20" s="114">
        <v>19</v>
      </c>
      <c r="F20" s="117" t="s">
        <v>32</v>
      </c>
    </row>
    <row r="21" spans="1:9">
      <c r="A21" s="118" t="s">
        <v>17</v>
      </c>
      <c r="B21" s="119" t="s">
        <v>18</v>
      </c>
      <c r="C21" s="114" t="s">
        <v>104</v>
      </c>
      <c r="D21" s="116">
        <f>D22 - D18</f>
        <v>940</v>
      </c>
      <c r="E21" s="114">
        <v>20</v>
      </c>
      <c r="F21" s="117" t="s">
        <v>32</v>
      </c>
    </row>
    <row r="22" spans="1:9">
      <c r="A22" s="118" t="s">
        <v>17</v>
      </c>
      <c r="B22" s="119" t="s">
        <v>18</v>
      </c>
      <c r="C22" s="114" t="s">
        <v>105</v>
      </c>
      <c r="D22" s="116">
        <v>2841</v>
      </c>
      <c r="E22" s="114">
        <v>21</v>
      </c>
      <c r="F22" s="117" t="s">
        <v>32</v>
      </c>
    </row>
    <row r="23" spans="1:9">
      <c r="A23" s="120" t="s">
        <v>19</v>
      </c>
      <c r="B23" s="121" t="s">
        <v>20</v>
      </c>
      <c r="C23" s="48" t="s">
        <v>100</v>
      </c>
      <c r="D23" s="97">
        <v>490</v>
      </c>
      <c r="E23" s="48">
        <v>22</v>
      </c>
      <c r="F23" s="122" t="s">
        <v>32</v>
      </c>
    </row>
    <row r="24" spans="1:9">
      <c r="A24" s="120" t="s">
        <v>19</v>
      </c>
      <c r="B24" s="121" t="s">
        <v>20</v>
      </c>
      <c r="C24" s="48" t="s">
        <v>101</v>
      </c>
      <c r="D24" s="97">
        <v>518</v>
      </c>
      <c r="E24" s="48">
        <v>23</v>
      </c>
      <c r="F24" s="122" t="s">
        <v>32</v>
      </c>
    </row>
    <row r="25" spans="1:9">
      <c r="A25" s="120" t="s">
        <v>19</v>
      </c>
      <c r="B25" s="121" t="s">
        <v>20</v>
      </c>
      <c r="C25" s="48" t="s">
        <v>102</v>
      </c>
      <c r="D25" s="97">
        <f>250</f>
        <v>250</v>
      </c>
      <c r="E25" s="48">
        <v>24</v>
      </c>
      <c r="F25" s="122" t="s">
        <v>32</v>
      </c>
    </row>
    <row r="26" spans="1:9">
      <c r="A26" s="120" t="s">
        <v>19</v>
      </c>
      <c r="B26" s="121" t="s">
        <v>20</v>
      </c>
      <c r="C26" s="48" t="s">
        <v>103</v>
      </c>
      <c r="D26" s="97">
        <f>250</f>
        <v>250</v>
      </c>
      <c r="E26" s="48">
        <v>25</v>
      </c>
      <c r="F26" s="122" t="s">
        <v>32</v>
      </c>
    </row>
    <row r="27" spans="1:9">
      <c r="A27" s="120" t="s">
        <v>19</v>
      </c>
      <c r="B27" s="121" t="s">
        <v>20</v>
      </c>
      <c r="C27" s="48" t="s">
        <v>104</v>
      </c>
      <c r="D27" s="97">
        <v>0</v>
      </c>
      <c r="E27" s="48">
        <v>26</v>
      </c>
      <c r="F27" s="122" t="s">
        <v>32</v>
      </c>
    </row>
    <row r="28" spans="1:9">
      <c r="A28" s="120" t="s">
        <v>19</v>
      </c>
      <c r="B28" s="121" t="s">
        <v>20</v>
      </c>
      <c r="C28" s="48" t="s">
        <v>105</v>
      </c>
      <c r="D28" s="97">
        <f>D27+D24</f>
        <v>518</v>
      </c>
      <c r="E28" s="48">
        <v>27</v>
      </c>
      <c r="F28" s="122" t="s">
        <v>32</v>
      </c>
    </row>
    <row r="29" spans="1:9">
      <c r="A29" s="91" t="s">
        <v>23</v>
      </c>
      <c r="B29" s="91" t="s">
        <v>24</v>
      </c>
      <c r="C29" s="90" t="s">
        <v>100</v>
      </c>
      <c r="D29" s="98">
        <v>2122</v>
      </c>
      <c r="E29" s="90">
        <v>28</v>
      </c>
      <c r="F29" s="92" t="s">
        <v>32</v>
      </c>
    </row>
    <row r="30" spans="1:9">
      <c r="A30" s="91" t="s">
        <v>23</v>
      </c>
      <c r="B30" s="91" t="s">
        <v>24</v>
      </c>
      <c r="C30" s="90" t="s">
        <v>101</v>
      </c>
      <c r="D30" s="98">
        <v>379</v>
      </c>
      <c r="E30" s="90">
        <v>29</v>
      </c>
      <c r="F30" s="92" t="s">
        <v>32</v>
      </c>
    </row>
    <row r="31" spans="1:9">
      <c r="A31" s="91" t="s">
        <v>23</v>
      </c>
      <c r="B31" s="91" t="s">
        <v>24</v>
      </c>
      <c r="C31" s="90" t="s">
        <v>102</v>
      </c>
      <c r="D31" s="98">
        <f>198.1</f>
        <v>198.1</v>
      </c>
      <c r="E31" s="90">
        <v>30</v>
      </c>
      <c r="F31" s="92" t="s">
        <v>32</v>
      </c>
    </row>
    <row r="32" spans="1:9">
      <c r="A32" s="91" t="s">
        <v>23</v>
      </c>
      <c r="B32" s="91" t="s">
        <v>24</v>
      </c>
      <c r="C32" s="90" t="s">
        <v>103</v>
      </c>
      <c r="D32" s="98">
        <v>198.1</v>
      </c>
      <c r="E32" s="90">
        <v>31</v>
      </c>
      <c r="F32" s="92" t="s">
        <v>32</v>
      </c>
      <c r="I32" s="20"/>
    </row>
    <row r="33" spans="1:9">
      <c r="A33" s="91" t="s">
        <v>23</v>
      </c>
      <c r="B33" s="91" t="s">
        <v>24</v>
      </c>
      <c r="C33" s="90" t="s">
        <v>104</v>
      </c>
      <c r="D33" s="98">
        <f>D34-D30</f>
        <v>1743</v>
      </c>
      <c r="E33" s="90">
        <v>32</v>
      </c>
      <c r="F33" s="92" t="s">
        <v>32</v>
      </c>
      <c r="I33" s="20"/>
    </row>
    <row r="34" spans="1:9">
      <c r="A34" s="91" t="s">
        <v>23</v>
      </c>
      <c r="B34" s="91" t="s">
        <v>24</v>
      </c>
      <c r="C34" s="90" t="s">
        <v>105</v>
      </c>
      <c r="D34" s="98">
        <v>2122</v>
      </c>
      <c r="E34" s="90">
        <v>33</v>
      </c>
      <c r="F34" s="92" t="s">
        <v>32</v>
      </c>
    </row>
    <row r="35" spans="1:9">
      <c r="A35" s="55"/>
      <c r="B35" s="55"/>
      <c r="C35" s="55"/>
      <c r="D35" s="55"/>
      <c r="E35">
        <v>34</v>
      </c>
      <c r="F35" s="55"/>
    </row>
    <row r="36" spans="1:9">
      <c r="A36" t="str">
        <f>A2</f>
        <v>PSX25001</v>
      </c>
      <c r="B36" t="str">
        <f t="shared" ref="B36:C36" si="0">_xlfn.TRANSLATE(B2,"pt","en")</f>
        <v>SUAPEK X Program</v>
      </c>
      <c r="C36" t="str">
        <f t="shared" si="0"/>
        <v>Budget</v>
      </c>
      <c r="D36" s="20">
        <f>D2</f>
        <v>14891</v>
      </c>
      <c r="E36">
        <v>35</v>
      </c>
      <c r="F36" s="46" t="s">
        <v>37</v>
      </c>
    </row>
    <row r="37" spans="1:9">
      <c r="A37" t="str">
        <f t="shared" ref="A37:A68" si="1">A3</f>
        <v>PSX25001</v>
      </c>
      <c r="B37" t="str">
        <f t="shared" ref="B37:C37" si="2">_xlfn.TRANSLATE(B3,"pt","en")</f>
        <v>SUAPEK X Program</v>
      </c>
      <c r="C37" t="str">
        <f t="shared" si="2"/>
        <v>Committed</v>
      </c>
      <c r="D37" s="20">
        <f t="shared" ref="D37:D68" si="3">D3</f>
        <v>9102</v>
      </c>
      <c r="E37">
        <v>36</v>
      </c>
      <c r="F37" s="46" t="s">
        <v>37</v>
      </c>
    </row>
    <row r="38" spans="1:9">
      <c r="A38" t="str">
        <f t="shared" si="1"/>
        <v>PSX25001</v>
      </c>
      <c r="B38" t="str">
        <f t="shared" ref="B38:C38" si="4">_xlfn.TRANSLATE(B4,"pt","en")</f>
        <v>SUAPEK X Program</v>
      </c>
      <c r="C38" t="str">
        <f t="shared" si="4"/>
        <v>Accounted for</v>
      </c>
      <c r="D38" s="20">
        <f t="shared" si="3"/>
        <v>6450</v>
      </c>
      <c r="E38">
        <v>37</v>
      </c>
      <c r="F38" s="46" t="s">
        <v>37</v>
      </c>
    </row>
    <row r="39" spans="1:9">
      <c r="A39" t="str">
        <f t="shared" si="1"/>
        <v>PSX25001</v>
      </c>
      <c r="B39" t="str">
        <f t="shared" ref="B39:C39" si="5">_xlfn.TRANSLATE(B5,"pt","en")</f>
        <v>SUAPEK X Program</v>
      </c>
      <c r="C39" t="str">
        <f t="shared" si="5"/>
        <v>Disbursed</v>
      </c>
      <c r="D39" s="20">
        <f t="shared" si="3"/>
        <v>6292</v>
      </c>
      <c r="E39">
        <v>38</v>
      </c>
      <c r="F39" s="46" t="s">
        <v>37</v>
      </c>
    </row>
    <row r="40" spans="1:9">
      <c r="A40" t="str">
        <f t="shared" si="1"/>
        <v>PSX25001</v>
      </c>
      <c r="B40" t="str">
        <f t="shared" ref="B40:C40" si="6">_xlfn.TRANSLATE(B6,"pt","en")</f>
        <v>SUAPEK X Program</v>
      </c>
      <c r="C40" t="str">
        <f t="shared" si="6"/>
        <v>To commit</v>
      </c>
      <c r="D40" s="20">
        <f t="shared" si="3"/>
        <v>5789</v>
      </c>
      <c r="E40">
        <v>39</v>
      </c>
      <c r="F40" s="46" t="s">
        <v>37</v>
      </c>
    </row>
    <row r="41" spans="1:9">
      <c r="A41" t="str">
        <f t="shared" si="1"/>
        <v>PSX25001</v>
      </c>
      <c r="B41" t="str">
        <f t="shared" ref="B41:C41" si="7">_xlfn.TRANSLATE(B7,"pt","en")</f>
        <v>SUAPEK X Program</v>
      </c>
      <c r="C41" t="str">
        <f t="shared" si="7"/>
        <v>Probable Final Cost</v>
      </c>
      <c r="D41" s="20">
        <f t="shared" si="3"/>
        <v>14891</v>
      </c>
      <c r="E41">
        <v>40</v>
      </c>
      <c r="F41" s="46" t="s">
        <v>37</v>
      </c>
    </row>
    <row r="42" spans="1:9">
      <c r="A42" t="str">
        <f t="shared" si="1"/>
        <v>PSX25001</v>
      </c>
      <c r="B42" t="str">
        <f t="shared" ref="B42:C42" si="8">_xlfn.TRANSLATE(B8,"pt","en")</f>
        <v>SUAPEK X Program</v>
      </c>
      <c r="C42" t="str">
        <f t="shared" si="8"/>
        <v>Benef.REIQ Real Acum.</v>
      </c>
      <c r="D42" s="20">
        <f t="shared" si="3"/>
        <v>6659</v>
      </c>
      <c r="E42">
        <v>41</v>
      </c>
      <c r="F42" s="46" t="s">
        <v>37</v>
      </c>
    </row>
    <row r="43" spans="1:9">
      <c r="A43" t="str">
        <f t="shared" si="1"/>
        <v>PSX25001</v>
      </c>
      <c r="B43" t="str">
        <f t="shared" ref="B43:C43" si="9">_xlfn.TRANSLATE(B9,"pt","en")</f>
        <v>SUAPEK X Program</v>
      </c>
      <c r="C43" t="str">
        <f t="shared" si="9"/>
        <v>Benef.REIQ Prev. Apr/26</v>
      </c>
      <c r="D43" s="20">
        <f t="shared" si="3"/>
        <v>1401</v>
      </c>
      <c r="E43">
        <v>42</v>
      </c>
      <c r="F43" s="46" t="s">
        <v>37</v>
      </c>
    </row>
    <row r="44" spans="1:9">
      <c r="A44" t="str">
        <f t="shared" si="1"/>
        <v>PSX25001</v>
      </c>
      <c r="B44" t="str">
        <f t="shared" ref="B44:C44" si="10">_xlfn.TRANSLATE(B10,"pt","en")</f>
        <v>SUAPEK X Program</v>
      </c>
      <c r="C44" t="str">
        <f t="shared" si="10"/>
        <v>Benef.REIQ Prev. Total</v>
      </c>
      <c r="D44" s="20">
        <f t="shared" si="3"/>
        <v>13651</v>
      </c>
      <c r="E44">
        <v>43</v>
      </c>
      <c r="F44" s="46" t="s">
        <v>37</v>
      </c>
    </row>
    <row r="45" spans="1:9">
      <c r="A45" t="str">
        <f t="shared" si="1"/>
        <v>LM.CRU25004</v>
      </c>
      <c r="B45" t="str">
        <f t="shared" ref="B45:C45" si="11">_xlfn.TRANSLATE(B11,"pt","en")</f>
        <v>LM Project - CRU</v>
      </c>
      <c r="C45" t="str">
        <f t="shared" si="11"/>
        <v>Budget</v>
      </c>
      <c r="D45" s="20">
        <f t="shared" si="3"/>
        <v>5480</v>
      </c>
      <c r="E45">
        <v>44</v>
      </c>
      <c r="F45" s="46" t="s">
        <v>37</v>
      </c>
    </row>
    <row r="46" spans="1:9">
      <c r="A46" t="str">
        <f t="shared" si="1"/>
        <v>LM.CRU25004</v>
      </c>
      <c r="B46" t="str">
        <f t="shared" ref="B46:C46" si="12">_xlfn.TRANSLATE(B12,"pt","en")</f>
        <v>LM Project - CRU</v>
      </c>
      <c r="C46" t="str">
        <f t="shared" si="12"/>
        <v>Committed</v>
      </c>
      <c r="D46" s="20">
        <f t="shared" si="3"/>
        <v>3665</v>
      </c>
      <c r="E46">
        <v>45</v>
      </c>
      <c r="F46" s="46" t="s">
        <v>37</v>
      </c>
    </row>
    <row r="47" spans="1:9">
      <c r="A47" t="str">
        <f t="shared" si="1"/>
        <v>LM.CRU25004</v>
      </c>
      <c r="B47" t="str">
        <f t="shared" ref="B47:C47" si="13">_xlfn.TRANSLATE(B13,"pt","en")</f>
        <v>LM Project - CRU</v>
      </c>
      <c r="C47" t="str">
        <f t="shared" si="13"/>
        <v>Accounted for</v>
      </c>
      <c r="D47" s="20">
        <f t="shared" si="3"/>
        <v>3306</v>
      </c>
      <c r="E47">
        <v>46</v>
      </c>
      <c r="F47" s="46" t="s">
        <v>37</v>
      </c>
    </row>
    <row r="48" spans="1:9">
      <c r="A48" t="str">
        <f t="shared" si="1"/>
        <v>LM.CRU25004</v>
      </c>
      <c r="B48" t="str">
        <f t="shared" ref="B48:C48" si="14">_xlfn.TRANSLATE(B14,"pt","en")</f>
        <v>LM Project - CRU</v>
      </c>
      <c r="C48" t="str">
        <f t="shared" si="14"/>
        <v>Disbursed</v>
      </c>
      <c r="D48" s="20">
        <f t="shared" si="3"/>
        <v>2781</v>
      </c>
      <c r="E48">
        <v>47</v>
      </c>
      <c r="F48" s="46" t="s">
        <v>37</v>
      </c>
    </row>
    <row r="49" spans="1:6">
      <c r="A49" t="str">
        <f t="shared" si="1"/>
        <v>LM.CRU25004</v>
      </c>
      <c r="B49" t="str">
        <f t="shared" ref="B49:C49" si="15">_xlfn.TRANSLATE(B15,"pt","en")</f>
        <v>LM Project - CRU</v>
      </c>
      <c r="C49" t="str">
        <f t="shared" si="15"/>
        <v>To commit</v>
      </c>
      <c r="D49" s="20">
        <f t="shared" si="3"/>
        <v>2156.9924881343104</v>
      </c>
      <c r="E49">
        <v>48</v>
      </c>
      <c r="F49" s="46" t="s">
        <v>37</v>
      </c>
    </row>
    <row r="50" spans="1:6">
      <c r="A50" t="str">
        <f t="shared" si="1"/>
        <v>LM.CRU25004</v>
      </c>
      <c r="B50" t="str">
        <f t="shared" ref="B50:C50" si="16">_xlfn.TRANSLATE(B16,"pt","en")</f>
        <v>LM Project - CRU</v>
      </c>
      <c r="C50" t="str">
        <f t="shared" si="16"/>
        <v>Probable Final Cost</v>
      </c>
      <c r="D50" s="20">
        <f t="shared" si="3"/>
        <v>5821.9924881343104</v>
      </c>
      <c r="E50">
        <v>49</v>
      </c>
      <c r="F50" s="46" t="s">
        <v>37</v>
      </c>
    </row>
    <row r="51" spans="1:6">
      <c r="A51" t="str">
        <f t="shared" si="1"/>
        <v>SUAP225002</v>
      </c>
      <c r="B51" t="str">
        <f t="shared" ref="B51:C51" si="17">_xlfn.TRANSLATE(B17,"pt","en")</f>
        <v>SUAPEK 2</v>
      </c>
      <c r="C51" t="str">
        <f t="shared" si="17"/>
        <v>Budget</v>
      </c>
      <c r="D51" s="20">
        <f t="shared" si="3"/>
        <v>3110</v>
      </c>
      <c r="E51">
        <v>50</v>
      </c>
      <c r="F51" s="46" t="s">
        <v>37</v>
      </c>
    </row>
    <row r="52" spans="1:6">
      <c r="A52" t="str">
        <f t="shared" si="1"/>
        <v>SUAP225002</v>
      </c>
      <c r="B52" t="str">
        <f t="shared" ref="B52:C52" si="18">_xlfn.TRANSLATE(B18,"pt","en")</f>
        <v>SUAPEK 2</v>
      </c>
      <c r="C52" t="str">
        <f t="shared" si="18"/>
        <v>Committed</v>
      </c>
      <c r="D52" s="20">
        <f t="shared" si="3"/>
        <v>1901</v>
      </c>
      <c r="E52">
        <v>51</v>
      </c>
      <c r="F52" s="46" t="s">
        <v>37</v>
      </c>
    </row>
    <row r="53" spans="1:6">
      <c r="A53" t="str">
        <f t="shared" si="1"/>
        <v>SUAP225002</v>
      </c>
      <c r="B53" t="str">
        <f t="shared" ref="B53:C53" si="19">_xlfn.TRANSLATE(B19,"pt","en")</f>
        <v>SUAPEK 2</v>
      </c>
      <c r="C53" t="str">
        <f t="shared" si="19"/>
        <v>Accounted for</v>
      </c>
      <c r="D53" s="20">
        <f t="shared" si="3"/>
        <v>1497</v>
      </c>
      <c r="E53">
        <v>52</v>
      </c>
      <c r="F53" s="46" t="s">
        <v>37</v>
      </c>
    </row>
    <row r="54" spans="1:6">
      <c r="A54" t="str">
        <f t="shared" si="1"/>
        <v>SUAP225002</v>
      </c>
      <c r="B54" t="str">
        <f t="shared" ref="B54:C54" si="20">_xlfn.TRANSLATE(B20,"pt","en")</f>
        <v>SUAPEK 2</v>
      </c>
      <c r="C54" t="str">
        <f t="shared" si="20"/>
        <v>Disbursed</v>
      </c>
      <c r="D54" s="20">
        <f t="shared" si="3"/>
        <v>1497</v>
      </c>
      <c r="E54">
        <v>53</v>
      </c>
      <c r="F54" s="46" t="s">
        <v>37</v>
      </c>
    </row>
    <row r="55" spans="1:6">
      <c r="A55" t="str">
        <f t="shared" si="1"/>
        <v>SUAP225002</v>
      </c>
      <c r="B55" t="str">
        <f t="shared" ref="B55:C55" si="21">_xlfn.TRANSLATE(B21,"pt","en")</f>
        <v>SUAPEK 2</v>
      </c>
      <c r="C55" t="str">
        <f t="shared" si="21"/>
        <v>To commit</v>
      </c>
      <c r="D55" s="20">
        <f t="shared" si="3"/>
        <v>940</v>
      </c>
      <c r="E55">
        <v>54</v>
      </c>
      <c r="F55" s="46" t="s">
        <v>37</v>
      </c>
    </row>
    <row r="56" spans="1:6">
      <c r="A56" t="str">
        <f t="shared" si="1"/>
        <v>SUAP225002</v>
      </c>
      <c r="B56" t="str">
        <f t="shared" ref="B56:C56" si="22">_xlfn.TRANSLATE(B22,"pt","en")</f>
        <v>SUAPEK 2</v>
      </c>
      <c r="C56" t="str">
        <f t="shared" si="22"/>
        <v>Probable Final Cost</v>
      </c>
      <c r="D56" s="20">
        <f t="shared" si="3"/>
        <v>2841</v>
      </c>
      <c r="E56">
        <v>55</v>
      </c>
      <c r="F56" s="46" t="s">
        <v>37</v>
      </c>
    </row>
    <row r="57" spans="1:6">
      <c r="A57" t="str">
        <f t="shared" si="1"/>
        <v>INTR25003</v>
      </c>
      <c r="B57" t="str">
        <f t="shared" ref="B57:C57" si="23">_xlfn.TRANSLATE(B23,"pt","en")</f>
        <v>Reactor Internals</v>
      </c>
      <c r="C57" t="str">
        <f t="shared" si="23"/>
        <v>Budget</v>
      </c>
      <c r="D57" s="20">
        <f t="shared" si="3"/>
        <v>490</v>
      </c>
      <c r="E57">
        <v>56</v>
      </c>
      <c r="F57" s="46" t="s">
        <v>37</v>
      </c>
    </row>
    <row r="58" spans="1:6">
      <c r="A58" t="str">
        <f t="shared" si="1"/>
        <v>INTR25003</v>
      </c>
      <c r="B58" t="str">
        <f t="shared" ref="B58:C58" si="24">_xlfn.TRANSLATE(B24,"pt","en")</f>
        <v>Reactor Internals</v>
      </c>
      <c r="C58" t="str">
        <f t="shared" si="24"/>
        <v>Committed</v>
      </c>
      <c r="D58" s="20">
        <f t="shared" si="3"/>
        <v>518</v>
      </c>
      <c r="E58">
        <v>57</v>
      </c>
      <c r="F58" s="46" t="s">
        <v>37</v>
      </c>
    </row>
    <row r="59" spans="1:6">
      <c r="A59" t="str">
        <f t="shared" si="1"/>
        <v>INTR25003</v>
      </c>
      <c r="B59" t="str">
        <f t="shared" ref="B59:C59" si="25">_xlfn.TRANSLATE(B25,"pt","en")</f>
        <v>Reactor Internals</v>
      </c>
      <c r="C59" t="str">
        <f t="shared" si="25"/>
        <v>Accounted for</v>
      </c>
      <c r="D59" s="20">
        <f t="shared" si="3"/>
        <v>250</v>
      </c>
      <c r="E59">
        <v>58</v>
      </c>
      <c r="F59" s="46" t="s">
        <v>37</v>
      </c>
    </row>
    <row r="60" spans="1:6">
      <c r="A60" t="str">
        <f t="shared" si="1"/>
        <v>INTR25003</v>
      </c>
      <c r="B60" t="str">
        <f t="shared" ref="B60:C60" si="26">_xlfn.TRANSLATE(B26,"pt","en")</f>
        <v>Reactor Internals</v>
      </c>
      <c r="C60" t="str">
        <f t="shared" si="26"/>
        <v>Disbursed</v>
      </c>
      <c r="D60" s="20">
        <f t="shared" si="3"/>
        <v>250</v>
      </c>
      <c r="E60">
        <v>59</v>
      </c>
      <c r="F60" s="46" t="s">
        <v>37</v>
      </c>
    </row>
    <row r="61" spans="1:6">
      <c r="A61" t="str">
        <f t="shared" si="1"/>
        <v>INTR25003</v>
      </c>
      <c r="B61" t="str">
        <f t="shared" ref="B61:C61" si="27">_xlfn.TRANSLATE(B27,"pt","en")</f>
        <v>Reactor Internals</v>
      </c>
      <c r="C61" t="str">
        <f t="shared" si="27"/>
        <v>To commit</v>
      </c>
      <c r="D61" s="20">
        <f t="shared" si="3"/>
        <v>0</v>
      </c>
      <c r="E61">
        <v>60</v>
      </c>
      <c r="F61" s="46" t="s">
        <v>37</v>
      </c>
    </row>
    <row r="62" spans="1:6">
      <c r="A62" t="str">
        <f t="shared" si="1"/>
        <v>INTR25003</v>
      </c>
      <c r="B62" t="str">
        <f t="shared" ref="B62:C62" si="28">_xlfn.TRANSLATE(B28,"pt","en")</f>
        <v>Reactor Internals</v>
      </c>
      <c r="C62" t="str">
        <f t="shared" si="28"/>
        <v>Probable Final Cost</v>
      </c>
      <c r="D62" s="20">
        <f t="shared" si="3"/>
        <v>518</v>
      </c>
      <c r="E62">
        <v>61</v>
      </c>
      <c r="F62" s="46" t="s">
        <v>37</v>
      </c>
    </row>
    <row r="63" spans="1:6">
      <c r="A63" t="str">
        <f t="shared" si="1"/>
        <v>GASF25005</v>
      </c>
      <c r="B63" t="str">
        <f t="shared" ref="B63:C63" si="29">_xlfn.TRANSLATE(B29,"pt","en")</f>
        <v>Gasfoil and Lantern</v>
      </c>
      <c r="C63" t="str">
        <f t="shared" si="29"/>
        <v>Budget</v>
      </c>
      <c r="D63" s="20">
        <f t="shared" si="3"/>
        <v>2122</v>
      </c>
      <c r="E63">
        <v>62</v>
      </c>
      <c r="F63" s="46" t="s">
        <v>37</v>
      </c>
    </row>
    <row r="64" spans="1:6">
      <c r="A64" t="str">
        <f t="shared" si="1"/>
        <v>GASF25005</v>
      </c>
      <c r="B64" t="str">
        <f t="shared" ref="B64:C64" si="30">_xlfn.TRANSLATE(B30,"pt","en")</f>
        <v>Gasfoil and Lantern</v>
      </c>
      <c r="C64" t="str">
        <f t="shared" si="30"/>
        <v>Committed</v>
      </c>
      <c r="D64" s="20">
        <f t="shared" si="3"/>
        <v>379</v>
      </c>
      <c r="E64">
        <v>63</v>
      </c>
      <c r="F64" s="46" t="s">
        <v>37</v>
      </c>
    </row>
    <row r="65" spans="1:6">
      <c r="A65" t="str">
        <f t="shared" si="1"/>
        <v>GASF25005</v>
      </c>
      <c r="B65" t="str">
        <f t="shared" ref="B65:C65" si="31">_xlfn.TRANSLATE(B31,"pt","en")</f>
        <v>Gasfoil and Lantern</v>
      </c>
      <c r="C65" t="str">
        <f t="shared" si="31"/>
        <v>Accounted for</v>
      </c>
      <c r="D65" s="20">
        <f t="shared" si="3"/>
        <v>198.1</v>
      </c>
      <c r="E65">
        <v>64</v>
      </c>
      <c r="F65" s="46" t="s">
        <v>37</v>
      </c>
    </row>
    <row r="66" spans="1:6">
      <c r="A66" t="str">
        <f t="shared" si="1"/>
        <v>GASF25005</v>
      </c>
      <c r="B66" t="str">
        <f t="shared" ref="B66:C66" si="32">_xlfn.TRANSLATE(B32,"pt","en")</f>
        <v>Gasfoil and Lantern</v>
      </c>
      <c r="C66" t="str">
        <f t="shared" si="32"/>
        <v>Disbursed</v>
      </c>
      <c r="D66" s="20">
        <f t="shared" si="3"/>
        <v>198.1</v>
      </c>
      <c r="E66">
        <v>65</v>
      </c>
      <c r="F66" s="46" t="s">
        <v>37</v>
      </c>
    </row>
    <row r="67" spans="1:6">
      <c r="A67" t="str">
        <f t="shared" si="1"/>
        <v>GASF25005</v>
      </c>
      <c r="B67" t="str">
        <f t="shared" ref="B67:C67" si="33">_xlfn.TRANSLATE(B33,"pt","en")</f>
        <v>Gasfoil and Lantern</v>
      </c>
      <c r="C67" t="str">
        <f t="shared" si="33"/>
        <v>To commit</v>
      </c>
      <c r="D67" s="20">
        <f t="shared" si="3"/>
        <v>1743</v>
      </c>
      <c r="E67">
        <v>66</v>
      </c>
      <c r="F67" s="46" t="s">
        <v>37</v>
      </c>
    </row>
    <row r="68" spans="1:6">
      <c r="A68" t="str">
        <f t="shared" si="1"/>
        <v>GASF25005</v>
      </c>
      <c r="B68" t="str">
        <f t="shared" ref="B68:C68" si="34">_xlfn.TRANSLATE(B34,"pt","en")</f>
        <v>Gasfoil and Lantern</v>
      </c>
      <c r="C68" t="str">
        <f t="shared" si="34"/>
        <v>Probable Final Cost</v>
      </c>
      <c r="D68" s="20">
        <f t="shared" si="3"/>
        <v>2122</v>
      </c>
      <c r="E68">
        <v>67</v>
      </c>
      <c r="F68" s="46" t="s">
        <v>37</v>
      </c>
    </row>
  </sheetData>
  <conditionalFormatting sqref="E1:E1048576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Footer>&amp;L_x000D_&amp;1#&amp;"Calibri"&amp;10&amp;K000000 Public Information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4B683-136C-4B55-B91B-29E93DD6FCEA}">
  <dimension ref="A1:M49"/>
  <sheetViews>
    <sheetView tabSelected="1" zoomScale="110" zoomScaleNormal="110" workbookViewId="0">
      <selection activeCell="C9" sqref="C9"/>
    </sheetView>
  </sheetViews>
  <sheetFormatPr defaultRowHeight="14.5"/>
  <cols>
    <col min="1" max="1" width="19.7265625" customWidth="1"/>
    <col min="2" max="2" width="21.54296875" customWidth="1"/>
    <col min="3" max="3" width="59.54296875" customWidth="1"/>
    <col min="4" max="4" width="14.453125" hidden="1" customWidth="1"/>
    <col min="5" max="5" width="11.26953125" hidden="1" customWidth="1"/>
    <col min="6" max="6" width="17.26953125" customWidth="1"/>
    <col min="7" max="7" width="17.453125" customWidth="1"/>
    <col min="8" max="8" width="6.26953125" customWidth="1"/>
    <col min="10" max="11" width="17.81640625" customWidth="1"/>
  </cols>
  <sheetData>
    <row r="1" spans="1:13">
      <c r="A1" t="s">
        <v>6</v>
      </c>
      <c r="B1" t="s">
        <v>15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27</v>
      </c>
      <c r="J1" t="s">
        <v>66</v>
      </c>
      <c r="K1" t="s">
        <v>67</v>
      </c>
      <c r="L1" t="s">
        <v>68</v>
      </c>
      <c r="M1" t="s">
        <v>29</v>
      </c>
    </row>
    <row r="2" spans="1:13">
      <c r="A2" t="s">
        <v>16</v>
      </c>
      <c r="B2" s="1" t="s">
        <v>10</v>
      </c>
      <c r="C2" s="38" t="s">
        <v>69</v>
      </c>
      <c r="D2" s="102"/>
      <c r="E2" s="102"/>
      <c r="F2" s="100">
        <v>45755</v>
      </c>
      <c r="G2" s="100">
        <v>45755</v>
      </c>
      <c r="H2">
        <f>IF(Tabela4[[#This Row],[Data Real]]&lt;&gt;0,1,"")</f>
        <v>1</v>
      </c>
      <c r="I2">
        <v>1</v>
      </c>
      <c r="K2" s="44">
        <v>45755</v>
      </c>
      <c r="L2" t="str">
        <f>IF(AND(Tabela4[[#This Row],[Data Real]]="",Tabela4[[#This Row],[Data Planejada]]&lt;&gt;"")=TRUE,"🚩","✅")</f>
        <v>✅</v>
      </c>
      <c r="M2" s="22" t="s">
        <v>32</v>
      </c>
    </row>
    <row r="3" spans="1:13">
      <c r="A3" t="s">
        <v>16</v>
      </c>
      <c r="B3" s="1" t="s">
        <v>10</v>
      </c>
      <c r="C3" s="38" t="s">
        <v>70</v>
      </c>
      <c r="D3" s="102"/>
      <c r="E3" s="102"/>
      <c r="F3" s="100">
        <v>45838</v>
      </c>
      <c r="G3" s="100">
        <v>45807</v>
      </c>
      <c r="H3">
        <f>IF(Tabela4[[#This Row],[Data Real]]&lt;&gt;0,1,"")</f>
        <v>1</v>
      </c>
      <c r="I3">
        <v>2</v>
      </c>
      <c r="J3" t="s">
        <v>71</v>
      </c>
      <c r="K3" s="44">
        <v>45838</v>
      </c>
      <c r="L3" t="str">
        <f>IF(AND(Tabela4[[#This Row],[Data Real]]="",Tabela4[[#This Row],[Data Planejada]]&lt;&gt;"")=TRUE,"🚩","✅")</f>
        <v>✅</v>
      </c>
      <c r="M3" s="22" t="s">
        <v>32</v>
      </c>
    </row>
    <row r="4" spans="1:13">
      <c r="A4" t="s">
        <v>16</v>
      </c>
      <c r="B4" s="1" t="s">
        <v>10</v>
      </c>
      <c r="C4" s="38" t="s">
        <v>72</v>
      </c>
      <c r="D4" s="102"/>
      <c r="E4" s="102"/>
      <c r="F4" s="100">
        <v>45838</v>
      </c>
      <c r="G4" s="100">
        <v>45849</v>
      </c>
      <c r="H4">
        <f>IF(Tabela4[[#This Row],[Data Real]]&lt;&gt;0,1,"")</f>
        <v>1</v>
      </c>
      <c r="I4">
        <v>3</v>
      </c>
      <c r="J4" t="s">
        <v>71</v>
      </c>
      <c r="K4" s="44">
        <v>45838</v>
      </c>
      <c r="L4" t="str">
        <f>IF(AND(Tabela4[[#This Row],[Data Real]]="",Tabela4[[#This Row],[Data Planejada]]&lt;&gt;"")=TRUE,"🚩","✅")</f>
        <v>✅</v>
      </c>
      <c r="M4" s="22" t="s">
        <v>32</v>
      </c>
    </row>
    <row r="5" spans="1:13">
      <c r="A5" t="s">
        <v>16</v>
      </c>
      <c r="B5" s="1" t="s">
        <v>10</v>
      </c>
      <c r="C5" s="38" t="s">
        <v>73</v>
      </c>
      <c r="D5" s="99"/>
      <c r="E5" s="99"/>
      <c r="F5" s="100">
        <v>46059</v>
      </c>
      <c r="G5" s="100">
        <v>46059</v>
      </c>
      <c r="H5">
        <f>IF(Tabela4[[#This Row],[Data Real]]&lt;&gt;0,1,"")</f>
        <v>1</v>
      </c>
      <c r="I5">
        <v>4</v>
      </c>
      <c r="K5" s="44">
        <v>45960</v>
      </c>
      <c r="L5" t="str">
        <f>IF(AND(Tabela4[[#This Row],[Data Real]]="",Tabela4[[#This Row],[Data Planejada]]&lt;&gt;"")=TRUE,"🚩","✅")</f>
        <v>✅</v>
      </c>
      <c r="M5" s="22" t="s">
        <v>32</v>
      </c>
    </row>
    <row r="6" spans="1:13">
      <c r="A6" t="s">
        <v>16</v>
      </c>
      <c r="B6" s="1" t="s">
        <v>10</v>
      </c>
      <c r="C6" s="38" t="s">
        <v>74</v>
      </c>
      <c r="D6" s="99"/>
      <c r="E6" s="99"/>
      <c r="F6" s="100">
        <v>46010</v>
      </c>
      <c r="G6" s="100">
        <v>46010</v>
      </c>
      <c r="H6">
        <f>IF(Tabela4[[#This Row],[Data Real]]&lt;&gt;0,1,"")</f>
        <v>1</v>
      </c>
      <c r="I6">
        <v>5</v>
      </c>
      <c r="K6" s="44">
        <v>46003</v>
      </c>
      <c r="L6" t="str">
        <f>IF(AND(Tabela4[[#This Row],[Data Real]]="",Tabela4[[#This Row],[Data Planejada]]&lt;&gt;"")=TRUE,"🚩","✅")</f>
        <v>✅</v>
      </c>
      <c r="M6" s="22" t="s">
        <v>32</v>
      </c>
    </row>
    <row r="7" spans="1:13">
      <c r="A7" t="s">
        <v>16</v>
      </c>
      <c r="B7" s="1" t="s">
        <v>10</v>
      </c>
      <c r="C7" s="47" t="s">
        <v>161</v>
      </c>
      <c r="D7" s="93"/>
      <c r="E7" s="93"/>
      <c r="F7" s="88">
        <v>46172</v>
      </c>
      <c r="G7" s="9"/>
      <c r="H7" t="str">
        <f>IF(Tabela4[[#This Row],[Data Real]]&lt;&gt;0,1,"")</f>
        <v/>
      </c>
      <c r="I7">
        <v>6</v>
      </c>
      <c r="K7" s="44">
        <v>46127</v>
      </c>
      <c r="L7" t="str">
        <f>IF(AND(Tabela4[[#This Row],[Data Real]]="",Tabela4[[#This Row],[Data Planejada]]&lt;&gt;"")=TRUE,"🚩","✅")</f>
        <v>🚩</v>
      </c>
      <c r="M7" s="22" t="s">
        <v>32</v>
      </c>
    </row>
    <row r="8" spans="1:13">
      <c r="A8" t="s">
        <v>16</v>
      </c>
      <c r="B8" s="1" t="s">
        <v>10</v>
      </c>
      <c r="C8" s="48" t="s">
        <v>75</v>
      </c>
      <c r="D8" s="8"/>
      <c r="E8" s="8"/>
      <c r="F8" s="9">
        <v>46224</v>
      </c>
      <c r="G8" s="9"/>
      <c r="H8" t="str">
        <f>IF(Tabela4[[#This Row],[Data Real]]&lt;&gt;0,1,"")</f>
        <v/>
      </c>
      <c r="I8">
        <v>7</v>
      </c>
      <c r="J8" t="s">
        <v>71</v>
      </c>
      <c r="K8" s="44">
        <v>46234</v>
      </c>
      <c r="L8" t="str">
        <f>IF(AND(Tabela4[[#This Row],[Data Real]]="",Tabela4[[#This Row],[Data Planejada]]&lt;&gt;"")=TRUE,"🚩","✅")</f>
        <v>🚩</v>
      </c>
      <c r="M8" s="22" t="s">
        <v>32</v>
      </c>
    </row>
    <row r="9" spans="1:13">
      <c r="A9" t="s">
        <v>16</v>
      </c>
      <c r="B9" s="1" t="s">
        <v>10</v>
      </c>
      <c r="C9" s="48" t="s">
        <v>225</v>
      </c>
      <c r="D9" s="8"/>
      <c r="E9" s="8"/>
      <c r="F9" s="9">
        <v>46226</v>
      </c>
      <c r="G9" s="9"/>
      <c r="H9" t="str">
        <f>IF(Tabela4[[#This Row],[Data Real]]&lt;&gt;0,1,"")</f>
        <v/>
      </c>
      <c r="I9">
        <v>8</v>
      </c>
      <c r="K9" s="9">
        <v>46226</v>
      </c>
      <c r="M9" s="22" t="s">
        <v>32</v>
      </c>
    </row>
    <row r="10" spans="1:13">
      <c r="A10" t="s">
        <v>16</v>
      </c>
      <c r="B10" s="1" t="s">
        <v>10</v>
      </c>
      <c r="C10" s="48" t="s">
        <v>168</v>
      </c>
      <c r="D10" s="84"/>
      <c r="E10" s="84"/>
      <c r="F10" s="87">
        <v>46249</v>
      </c>
      <c r="G10" s="9"/>
      <c r="H10" t="str">
        <f>IF(Tabela4[[#This Row],[Data Real]]&lt;&gt;0,1,"")</f>
        <v/>
      </c>
      <c r="I10">
        <v>9</v>
      </c>
      <c r="K10" s="44">
        <v>46255</v>
      </c>
      <c r="M10" s="22" t="s">
        <v>32</v>
      </c>
    </row>
    <row r="11" spans="1:13">
      <c r="A11" t="s">
        <v>16</v>
      </c>
      <c r="B11" s="1" t="s">
        <v>10</v>
      </c>
      <c r="C11" t="s">
        <v>169</v>
      </c>
      <c r="D11" s="84"/>
      <c r="E11" s="84"/>
      <c r="F11" s="123">
        <v>46249</v>
      </c>
      <c r="G11" s="9"/>
      <c r="H11" t="str">
        <f>IF(Tabela4[[#This Row],[Data Real]]&lt;&gt;0,1,"")</f>
        <v/>
      </c>
      <c r="I11">
        <v>10</v>
      </c>
      <c r="K11" s="44">
        <v>46177</v>
      </c>
      <c r="M11" s="22" t="s">
        <v>32</v>
      </c>
    </row>
    <row r="12" spans="1:13">
      <c r="A12" t="s">
        <v>16</v>
      </c>
      <c r="B12" s="1" t="s">
        <v>10</v>
      </c>
      <c r="C12" t="s">
        <v>224</v>
      </c>
      <c r="D12" s="8"/>
      <c r="E12" s="8"/>
      <c r="F12" s="87">
        <v>46232</v>
      </c>
      <c r="G12" s="9"/>
      <c r="H12" t="str">
        <f>IF(Tabela4[[#This Row],[Data Real]]&lt;&gt;0,1,"")</f>
        <v/>
      </c>
      <c r="I12">
        <v>11</v>
      </c>
      <c r="K12" s="44">
        <v>46186</v>
      </c>
      <c r="L12" t="str">
        <f>IF(AND(Tabela4[[#This Row],[Data Real]]="",Tabela4[[#This Row],[Data Planejada]]&lt;&gt;"")=TRUE,"🚩","✅")</f>
        <v>🚩</v>
      </c>
      <c r="M12" s="22" t="s">
        <v>32</v>
      </c>
    </row>
    <row r="13" spans="1:13">
      <c r="A13" t="s">
        <v>16</v>
      </c>
      <c r="B13" s="1" t="s">
        <v>10</v>
      </c>
      <c r="C13" t="s">
        <v>170</v>
      </c>
      <c r="D13" s="84"/>
      <c r="E13" s="84"/>
      <c r="F13" s="16">
        <v>46162</v>
      </c>
      <c r="G13" s="9"/>
      <c r="H13" t="str">
        <f>IF(Tabela4[[#This Row],[Data Real]]&lt;&gt;0,1,"")</f>
        <v/>
      </c>
      <c r="I13">
        <v>12</v>
      </c>
      <c r="K13" s="44">
        <v>46150</v>
      </c>
      <c r="L13" t="str">
        <f>IF(AND(Tabela4[[#This Row],[Data Real]]="",Tabela4[[#This Row],[Data Planejada]]&lt;&gt;"")=TRUE,"🚩","✅")</f>
        <v>🚩</v>
      </c>
      <c r="M13" s="22" t="s">
        <v>32</v>
      </c>
    </row>
    <row r="14" spans="1:13">
      <c r="A14" t="s">
        <v>16</v>
      </c>
      <c r="B14" s="1" t="s">
        <v>10</v>
      </c>
      <c r="C14" s="48" t="s">
        <v>172</v>
      </c>
      <c r="D14" s="8"/>
      <c r="E14" s="8"/>
      <c r="F14" s="87">
        <v>46280</v>
      </c>
      <c r="G14" s="9"/>
      <c r="H14" t="str">
        <f>IF(Tabela4[[#This Row],[Data Real]]&lt;&gt;0,1,"")</f>
        <v/>
      </c>
      <c r="I14">
        <v>13</v>
      </c>
      <c r="J14" t="s">
        <v>71</v>
      </c>
      <c r="K14" s="44">
        <v>46290</v>
      </c>
      <c r="M14" s="22" t="s">
        <v>32</v>
      </c>
    </row>
    <row r="15" spans="1:13">
      <c r="A15" t="s">
        <v>16</v>
      </c>
      <c r="B15" s="1" t="s">
        <v>10</v>
      </c>
      <c r="C15" t="s">
        <v>77</v>
      </c>
      <c r="D15" s="8"/>
      <c r="E15" s="8"/>
      <c r="F15" s="9">
        <v>46366</v>
      </c>
      <c r="G15" s="9"/>
      <c r="H15" t="str">
        <f>IF(Tabela4[[#This Row],[Data Real]]&lt;&gt;0,1,"")</f>
        <v/>
      </c>
      <c r="I15">
        <v>14</v>
      </c>
      <c r="J15" t="s">
        <v>71</v>
      </c>
      <c r="K15" s="44">
        <v>46366</v>
      </c>
      <c r="M15" s="22" t="s">
        <v>32</v>
      </c>
    </row>
    <row r="16" spans="1:13">
      <c r="A16" s="14" t="s">
        <v>21</v>
      </c>
      <c r="B16" s="101" t="s">
        <v>78</v>
      </c>
      <c r="C16" s="38" t="s">
        <v>79</v>
      </c>
      <c r="D16" s="102"/>
      <c r="E16" s="102"/>
      <c r="F16" s="103">
        <v>45802</v>
      </c>
      <c r="G16" s="100">
        <v>45794</v>
      </c>
      <c r="H16">
        <f>IF(Tabela4[[#This Row],[Data Real]]&lt;&gt;0,1,"")</f>
        <v>1</v>
      </c>
      <c r="I16">
        <v>15</v>
      </c>
      <c r="J16" t="s">
        <v>71</v>
      </c>
      <c r="K16" s="44">
        <v>45802</v>
      </c>
      <c r="L16" t="str">
        <f>IF(AND(Tabela4[[#This Row],[Data Real]]="",Tabela4[[#This Row],[Data Planejada]]&lt;&gt;"")=TRUE,"🚩","✅")</f>
        <v>✅</v>
      </c>
      <c r="M16" s="22" t="s">
        <v>32</v>
      </c>
    </row>
    <row r="17" spans="1:13">
      <c r="A17" s="14" t="s">
        <v>21</v>
      </c>
      <c r="B17" s="101" t="s">
        <v>78</v>
      </c>
      <c r="C17" s="38" t="s">
        <v>80</v>
      </c>
      <c r="D17" s="102"/>
      <c r="E17" s="102"/>
      <c r="F17" s="103">
        <v>45909</v>
      </c>
      <c r="G17" s="103">
        <v>45909</v>
      </c>
      <c r="H17">
        <f>IF(Tabela4[[#This Row],[Data Real]]&lt;&gt;0,1,"")</f>
        <v>1</v>
      </c>
      <c r="I17">
        <v>16</v>
      </c>
      <c r="K17" s="44">
        <v>45876</v>
      </c>
      <c r="L17" t="str">
        <f>IF(AND(Tabela4[[#This Row],[Data Real]]="",Tabela4[[#This Row],[Data Planejada]]&lt;&gt;"")=TRUE,"🚩","✅")</f>
        <v>✅</v>
      </c>
      <c r="M17" s="22" t="s">
        <v>32</v>
      </c>
    </row>
    <row r="18" spans="1:13">
      <c r="A18" s="14" t="s">
        <v>21</v>
      </c>
      <c r="B18" s="101" t="s">
        <v>78</v>
      </c>
      <c r="C18" s="38" t="s">
        <v>81</v>
      </c>
      <c r="D18" s="99"/>
      <c r="E18" s="99"/>
      <c r="F18" s="100">
        <v>46003</v>
      </c>
      <c r="G18" s="100">
        <v>46003</v>
      </c>
      <c r="H18">
        <f>IF(Tabela4[[#This Row],[Data Real]]&lt;&gt;0,1,"")</f>
        <v>1</v>
      </c>
      <c r="I18">
        <v>17</v>
      </c>
      <c r="K18" s="44">
        <v>45971</v>
      </c>
      <c r="M18" s="22" t="s">
        <v>32</v>
      </c>
    </row>
    <row r="19" spans="1:13">
      <c r="A19" t="s">
        <v>21</v>
      </c>
      <c r="B19" s="101" t="s">
        <v>78</v>
      </c>
      <c r="C19" s="38" t="s">
        <v>74</v>
      </c>
      <c r="D19" s="99"/>
      <c r="E19" s="99"/>
      <c r="F19" s="100">
        <f>F6</f>
        <v>46010</v>
      </c>
      <c r="G19" s="100">
        <v>46010</v>
      </c>
      <c r="H19">
        <f>IF(Tabela4[[#This Row],[Data Real]]&lt;&gt;0,1,"")</f>
        <v>1</v>
      </c>
      <c r="I19">
        <v>18</v>
      </c>
      <c r="K19" s="44">
        <v>46003</v>
      </c>
      <c r="M19" s="22" t="s">
        <v>32</v>
      </c>
    </row>
    <row r="20" spans="1:13">
      <c r="A20" s="14" t="s">
        <v>21</v>
      </c>
      <c r="B20" s="101" t="s">
        <v>78</v>
      </c>
      <c r="C20" s="38" t="s">
        <v>82</v>
      </c>
      <c r="D20" s="99"/>
      <c r="E20" s="99"/>
      <c r="F20" s="100">
        <v>46073</v>
      </c>
      <c r="G20" s="100">
        <v>46073</v>
      </c>
      <c r="H20">
        <f>IF(Tabela4[[#This Row],[Data Real]]&lt;&gt;0,1,"")</f>
        <v>1</v>
      </c>
      <c r="I20">
        <v>19</v>
      </c>
      <c r="K20" s="44">
        <v>46073</v>
      </c>
      <c r="M20" s="22" t="s">
        <v>32</v>
      </c>
    </row>
    <row r="21" spans="1:13">
      <c r="A21" s="14" t="s">
        <v>21</v>
      </c>
      <c r="B21" s="101" t="s">
        <v>78</v>
      </c>
      <c r="C21" s="47" t="s">
        <v>83</v>
      </c>
      <c r="D21" s="93"/>
      <c r="E21" s="93"/>
      <c r="F21" s="95">
        <f>F7</f>
        <v>46172</v>
      </c>
      <c r="G21" s="9"/>
      <c r="H21" t="str">
        <f>IF(Tabela4[[#This Row],[Data Real]]&lt;&gt;0,1,"")</f>
        <v/>
      </c>
      <c r="I21">
        <v>20</v>
      </c>
      <c r="K21" s="44">
        <v>46127</v>
      </c>
      <c r="M21" s="22" t="s">
        <v>32</v>
      </c>
    </row>
    <row r="22" spans="1:13">
      <c r="A22" s="14" t="s">
        <v>21</v>
      </c>
      <c r="B22" s="101" t="s">
        <v>78</v>
      </c>
      <c r="C22" s="47" t="s">
        <v>167</v>
      </c>
      <c r="D22" s="94"/>
      <c r="E22" s="94"/>
      <c r="F22" s="95">
        <f>F13</f>
        <v>46162</v>
      </c>
      <c r="G22" s="9"/>
      <c r="H22" t="str">
        <f>IF(Tabela4[[#This Row],[Data Real]]&lt;&gt;0,1,"")</f>
        <v/>
      </c>
      <c r="I22">
        <v>21</v>
      </c>
      <c r="K22" s="44">
        <v>46142</v>
      </c>
      <c r="M22" s="22" t="s">
        <v>32</v>
      </c>
    </row>
    <row r="23" spans="1:13">
      <c r="A23" s="14" t="s">
        <v>21</v>
      </c>
      <c r="B23" s="101" t="s">
        <v>78</v>
      </c>
      <c r="C23" s="47" t="s">
        <v>221</v>
      </c>
      <c r="D23" s="94"/>
      <c r="E23" s="94"/>
      <c r="F23" s="95">
        <v>46172</v>
      </c>
      <c r="G23" s="9"/>
      <c r="H23" t="str">
        <f>IF(Tabela4[[#This Row],[Data Real]]&lt;&gt;0,1,"")</f>
        <v/>
      </c>
      <c r="I23">
        <v>22</v>
      </c>
      <c r="K23" s="16">
        <v>46172</v>
      </c>
      <c r="M23" s="22" t="s">
        <v>32</v>
      </c>
    </row>
    <row r="24" spans="1:13">
      <c r="A24" s="14" t="s">
        <v>21</v>
      </c>
      <c r="B24" s="101" t="s">
        <v>78</v>
      </c>
      <c r="C24" t="s">
        <v>222</v>
      </c>
      <c r="D24" s="8"/>
      <c r="E24" s="8"/>
      <c r="F24" s="16">
        <v>46185</v>
      </c>
      <c r="G24" s="9"/>
      <c r="H24" t="str">
        <f>IF(Tabela4[[#This Row],[Data Real]]&lt;&gt;0,1,"")</f>
        <v/>
      </c>
      <c r="I24">
        <v>23</v>
      </c>
      <c r="K24" s="16">
        <v>46185</v>
      </c>
      <c r="M24" s="22" t="s">
        <v>32</v>
      </c>
    </row>
    <row r="25" spans="1:13">
      <c r="A25" s="14" t="s">
        <v>21</v>
      </c>
      <c r="B25" s="101" t="s">
        <v>78</v>
      </c>
      <c r="C25" s="48" t="s">
        <v>220</v>
      </c>
      <c r="D25" s="8"/>
      <c r="E25" s="8"/>
      <c r="F25" s="9">
        <f>F9</f>
        <v>46226</v>
      </c>
      <c r="G25" s="9"/>
      <c r="H25" t="str">
        <f>IF(Tabela4[[#This Row],[Data Real]]&lt;&gt;0,1,"")</f>
        <v/>
      </c>
      <c r="I25">
        <v>24</v>
      </c>
      <c r="K25" s="9">
        <v>46226</v>
      </c>
      <c r="M25" s="22" t="s">
        <v>32</v>
      </c>
    </row>
    <row r="26" spans="1:13">
      <c r="A26" s="14" t="s">
        <v>21</v>
      </c>
      <c r="B26" s="101" t="s">
        <v>78</v>
      </c>
      <c r="C26" t="s">
        <v>223</v>
      </c>
      <c r="D26" s="8"/>
      <c r="E26" s="8"/>
      <c r="F26" s="87">
        <f>F12</f>
        <v>46232</v>
      </c>
      <c r="G26" s="9"/>
      <c r="H26" t="str">
        <f>IF(Tabela4[[#This Row],[Data Real]]&lt;&gt;0,1,"")</f>
        <v/>
      </c>
      <c r="I26">
        <v>25</v>
      </c>
      <c r="K26" s="44">
        <v>46186</v>
      </c>
      <c r="M26" s="22" t="s">
        <v>32</v>
      </c>
    </row>
    <row r="27" spans="1:13">
      <c r="A27" s="14" t="s">
        <v>21</v>
      </c>
      <c r="B27" s="101" t="s">
        <v>78</v>
      </c>
      <c r="C27" t="s">
        <v>77</v>
      </c>
      <c r="D27" s="8"/>
      <c r="E27" s="8"/>
      <c r="F27" s="9">
        <v>46366</v>
      </c>
      <c r="G27" s="9"/>
      <c r="H27" t="str">
        <f>IF(Tabela4[[#This Row],[Data Real]]&lt;&gt;0,1,"")</f>
        <v/>
      </c>
      <c r="I27">
        <v>26</v>
      </c>
      <c r="K27" s="44">
        <v>46360</v>
      </c>
      <c r="M27" s="22" t="s">
        <v>32</v>
      </c>
    </row>
    <row r="28" spans="1:13">
      <c r="A28" s="14" t="s">
        <v>17</v>
      </c>
      <c r="B28" s="17" t="s">
        <v>18</v>
      </c>
      <c r="C28" s="38" t="s">
        <v>79</v>
      </c>
      <c r="D28" s="102"/>
      <c r="E28" s="102"/>
      <c r="F28" s="103">
        <v>45802</v>
      </c>
      <c r="G28" s="100">
        <v>45804</v>
      </c>
      <c r="H28">
        <f>IF(Tabela4[[#This Row],[Data Real]]&lt;&gt;0,1,"")</f>
        <v>1</v>
      </c>
      <c r="I28">
        <v>27</v>
      </c>
      <c r="K28" s="44">
        <v>45802</v>
      </c>
      <c r="L28" t="str">
        <f>IF(AND(Tabela4[[#This Row],[Data Real]]="",Tabela4[[#This Row],[Data Planejada]]&lt;&gt;"")=TRUE,"🚩","✅")</f>
        <v>✅</v>
      </c>
      <c r="M28" s="22" t="s">
        <v>32</v>
      </c>
    </row>
    <row r="29" spans="1:13">
      <c r="A29" s="14" t="s">
        <v>17</v>
      </c>
      <c r="B29" s="17" t="s">
        <v>18</v>
      </c>
      <c r="C29" s="38" t="s">
        <v>84</v>
      </c>
      <c r="D29" s="102"/>
      <c r="E29" s="102"/>
      <c r="F29" s="103">
        <v>45868</v>
      </c>
      <c r="G29" s="100">
        <v>45868</v>
      </c>
      <c r="H29">
        <f>IF(Tabela4[[#This Row],[Data Real]]&lt;&gt;0,1,"")</f>
        <v>1</v>
      </c>
      <c r="I29">
        <v>28</v>
      </c>
      <c r="K29" s="44">
        <v>45868</v>
      </c>
      <c r="L29" t="str">
        <f>IF(AND(Tabela4[[#This Row],[Data Real]]="",Tabela4[[#This Row],[Data Planejada]]&lt;&gt;"")=TRUE,"🚩","✅")</f>
        <v>✅</v>
      </c>
      <c r="M29" s="22" t="s">
        <v>32</v>
      </c>
    </row>
    <row r="30" spans="1:13">
      <c r="A30" s="14" t="s">
        <v>17</v>
      </c>
      <c r="B30" s="17" t="s">
        <v>18</v>
      </c>
      <c r="C30" s="38" t="s">
        <v>73</v>
      </c>
      <c r="D30" s="102"/>
      <c r="E30" s="102"/>
      <c r="F30" s="100">
        <f>F5</f>
        <v>46059</v>
      </c>
      <c r="G30" s="100">
        <v>46059</v>
      </c>
      <c r="H30">
        <f>IF(Tabela4[[#This Row],[Data Real]]&lt;&gt;0,1,"")</f>
        <v>1</v>
      </c>
      <c r="I30">
        <v>29</v>
      </c>
      <c r="K30" s="44">
        <v>45960</v>
      </c>
      <c r="M30" s="22" t="s">
        <v>32</v>
      </c>
    </row>
    <row r="31" spans="1:13">
      <c r="A31" s="14" t="s">
        <v>17</v>
      </c>
      <c r="B31" s="17" t="s">
        <v>18</v>
      </c>
      <c r="C31" s="38" t="s">
        <v>85</v>
      </c>
      <c r="D31" s="99"/>
      <c r="E31" s="99"/>
      <c r="F31" s="100">
        <v>45965</v>
      </c>
      <c r="G31" s="100">
        <v>45965</v>
      </c>
      <c r="H31">
        <f>IF(Tabela4[[#This Row],[Data Real]]&lt;&gt;0,1,"")</f>
        <v>1</v>
      </c>
      <c r="I31">
        <v>30</v>
      </c>
      <c r="K31" s="44">
        <v>45988</v>
      </c>
      <c r="M31" s="22" t="s">
        <v>32</v>
      </c>
    </row>
    <row r="32" spans="1:13">
      <c r="A32" s="14" t="s">
        <v>17</v>
      </c>
      <c r="B32" s="17" t="s">
        <v>18</v>
      </c>
      <c r="C32" s="38" t="s">
        <v>86</v>
      </c>
      <c r="D32" s="99"/>
      <c r="E32" s="99"/>
      <c r="F32" s="100">
        <v>46112</v>
      </c>
      <c r="G32" s="100">
        <v>46112</v>
      </c>
      <c r="H32">
        <f>IF(Tabela4[[#This Row],[Data Real]]&lt;&gt;0,1,"")</f>
        <v>1</v>
      </c>
      <c r="I32">
        <v>31</v>
      </c>
      <c r="K32" s="44">
        <v>46111</v>
      </c>
      <c r="M32" s="22" t="s">
        <v>32</v>
      </c>
    </row>
    <row r="33" spans="1:13">
      <c r="A33" s="14" t="s">
        <v>17</v>
      </c>
      <c r="B33" s="17" t="s">
        <v>18</v>
      </c>
      <c r="C33" s="48" t="s">
        <v>75</v>
      </c>
      <c r="D33" s="8"/>
      <c r="E33" s="8"/>
      <c r="F33" s="9">
        <f>F8</f>
        <v>46224</v>
      </c>
      <c r="G33" s="9"/>
      <c r="H33" t="str">
        <f>IF(Tabela4[[#This Row],[Data Real]]&lt;&gt;0,1,"")</f>
        <v/>
      </c>
      <c r="I33">
        <v>32</v>
      </c>
      <c r="K33" s="44">
        <v>46234</v>
      </c>
      <c r="M33" s="22" t="s">
        <v>32</v>
      </c>
    </row>
    <row r="34" spans="1:13">
      <c r="A34" s="14" t="s">
        <v>17</v>
      </c>
      <c r="B34" s="17" t="s">
        <v>18</v>
      </c>
      <c r="C34" s="47" t="s">
        <v>87</v>
      </c>
      <c r="D34" s="94"/>
      <c r="E34" s="94"/>
      <c r="F34" s="95">
        <v>46172</v>
      </c>
      <c r="G34" s="9"/>
      <c r="H34" t="str">
        <f>IF(Tabela4[[#This Row],[Data Real]]&lt;&gt;0,1,"")</f>
        <v/>
      </c>
      <c r="I34">
        <v>33</v>
      </c>
      <c r="K34" s="44">
        <v>46172</v>
      </c>
      <c r="M34" s="22" t="s">
        <v>32</v>
      </c>
    </row>
    <row r="35" spans="1:13">
      <c r="A35" s="14" t="s">
        <v>17</v>
      </c>
      <c r="B35" s="17" t="s">
        <v>18</v>
      </c>
      <c r="C35" s="48" t="s">
        <v>88</v>
      </c>
      <c r="D35" s="8"/>
      <c r="E35" s="8"/>
      <c r="F35" s="16">
        <f>F14</f>
        <v>46280</v>
      </c>
      <c r="G35" s="9"/>
      <c r="H35" t="str">
        <f>IF(Tabela4[[#This Row],[Data Real]]&lt;&gt;0,1,"")</f>
        <v/>
      </c>
      <c r="I35">
        <v>34</v>
      </c>
      <c r="K35" s="44">
        <v>46290</v>
      </c>
      <c r="M35" s="22" t="s">
        <v>32</v>
      </c>
    </row>
    <row r="36" spans="1:13">
      <c r="A36" s="14" t="s">
        <v>17</v>
      </c>
      <c r="B36" s="17" t="s">
        <v>18</v>
      </c>
      <c r="C36" s="48" t="s">
        <v>89</v>
      </c>
      <c r="D36" s="8"/>
      <c r="E36" s="8"/>
      <c r="F36" s="16">
        <v>46297</v>
      </c>
      <c r="G36" s="9"/>
      <c r="H36" t="str">
        <f>IF(Tabela4[[#This Row],[Data Real]]&lt;&gt;0,1,"")</f>
        <v/>
      </c>
      <c r="I36">
        <v>35</v>
      </c>
      <c r="K36" s="44">
        <v>46297</v>
      </c>
      <c r="M36" s="22" t="s">
        <v>32</v>
      </c>
    </row>
    <row r="37" spans="1:13">
      <c r="A37" s="18" t="s">
        <v>19</v>
      </c>
      <c r="B37" s="18" t="s">
        <v>20</v>
      </c>
      <c r="C37" s="38" t="s">
        <v>79</v>
      </c>
      <c r="D37" s="102"/>
      <c r="E37" s="102"/>
      <c r="F37" s="103">
        <v>45802</v>
      </c>
      <c r="G37" s="100">
        <v>45804</v>
      </c>
      <c r="H37">
        <f>IF(Tabela4[[#This Row],[Data Real]]&lt;&gt;0,1,"")</f>
        <v>1</v>
      </c>
      <c r="I37">
        <v>36</v>
      </c>
      <c r="K37" s="44">
        <v>45802</v>
      </c>
      <c r="L37" t="str">
        <f>IF(AND(Tabela4[[#This Row],[Data Real]]="",Tabela4[[#This Row],[Data Planejada]]&lt;&gt;"")=TRUE,"🚩","✅")</f>
        <v>✅</v>
      </c>
      <c r="M37" s="22" t="s">
        <v>32</v>
      </c>
    </row>
    <row r="38" spans="1:13" ht="15" customHeight="1">
      <c r="A38" s="18" t="s">
        <v>19</v>
      </c>
      <c r="B38" s="18" t="s">
        <v>20</v>
      </c>
      <c r="C38" s="38" t="s">
        <v>90</v>
      </c>
      <c r="D38" s="102"/>
      <c r="E38" s="102"/>
      <c r="F38" s="100">
        <v>45874</v>
      </c>
      <c r="G38" s="100">
        <v>45869</v>
      </c>
      <c r="H38">
        <f>IF(Tabela4[[#This Row],[Data Real]]&lt;&gt;0,1,"")</f>
        <v>1</v>
      </c>
      <c r="I38">
        <v>37</v>
      </c>
      <c r="K38" s="44">
        <v>45874</v>
      </c>
      <c r="L38" t="str">
        <f>IF(AND(Tabela4[[#This Row],[Data Real]]="",Tabela4[[#This Row],[Data Planejada]]&lt;&gt;"")=TRUE,"🚩","✅")</f>
        <v>✅</v>
      </c>
      <c r="M38" s="22" t="s">
        <v>32</v>
      </c>
    </row>
    <row r="39" spans="1:13">
      <c r="A39" s="18" t="s">
        <v>19</v>
      </c>
      <c r="B39" s="18" t="s">
        <v>20</v>
      </c>
      <c r="C39" s="38" t="s">
        <v>91</v>
      </c>
      <c r="D39" s="102"/>
      <c r="E39" s="102"/>
      <c r="F39" s="100">
        <v>46006</v>
      </c>
      <c r="G39" s="100">
        <v>46006</v>
      </c>
      <c r="H39">
        <f>IF(Tabela4[[#This Row],[Data Real]]&lt;&gt;0,1,"")</f>
        <v>1</v>
      </c>
      <c r="I39">
        <v>38</v>
      </c>
      <c r="K39" s="44">
        <v>45960</v>
      </c>
      <c r="M39" s="22" t="s">
        <v>32</v>
      </c>
    </row>
    <row r="40" spans="1:13">
      <c r="A40" s="18" t="s">
        <v>19</v>
      </c>
      <c r="B40" s="18" t="s">
        <v>20</v>
      </c>
      <c r="C40" s="47" t="s">
        <v>92</v>
      </c>
      <c r="D40" s="94"/>
      <c r="E40" s="94"/>
      <c r="F40" s="95">
        <v>46245</v>
      </c>
      <c r="G40" s="9"/>
      <c r="H40" t="str">
        <f>IF(Tabela4[[#This Row],[Data Real]]&lt;&gt;0,1,"")</f>
        <v/>
      </c>
      <c r="I40">
        <v>39</v>
      </c>
      <c r="K40" s="44">
        <v>46245</v>
      </c>
      <c r="M40" s="22" t="s">
        <v>32</v>
      </c>
    </row>
    <row r="41" spans="1:13">
      <c r="A41" s="18" t="s">
        <v>19</v>
      </c>
      <c r="B41" s="18" t="s">
        <v>20</v>
      </c>
      <c r="C41" t="s">
        <v>93</v>
      </c>
      <c r="D41" s="8"/>
      <c r="E41" s="8"/>
      <c r="F41" s="16">
        <f>F14</f>
        <v>46280</v>
      </c>
      <c r="G41" s="9"/>
      <c r="H41" t="str">
        <f>IF(Tabela4[[#This Row],[Data Real]]&lt;&gt;0,1,"")</f>
        <v/>
      </c>
      <c r="I41">
        <v>40</v>
      </c>
      <c r="K41" s="44">
        <v>46290</v>
      </c>
      <c r="M41" s="22" t="s">
        <v>32</v>
      </c>
    </row>
    <row r="42" spans="1:13">
      <c r="A42" s="18" t="s">
        <v>19</v>
      </c>
      <c r="B42" s="18" t="s">
        <v>20</v>
      </c>
      <c r="C42" t="s">
        <v>89</v>
      </c>
      <c r="D42" s="8"/>
      <c r="E42" s="8"/>
      <c r="F42" s="16">
        <v>46307</v>
      </c>
      <c r="G42" s="9"/>
      <c r="H42" t="str">
        <f>IF(Tabela4[[#This Row],[Data Real]]&lt;&gt;0,1,"")</f>
        <v/>
      </c>
      <c r="I42">
        <v>41</v>
      </c>
      <c r="K42" s="44">
        <v>46307</v>
      </c>
      <c r="M42" s="22" t="s">
        <v>32</v>
      </c>
    </row>
    <row r="43" spans="1:13">
      <c r="A43" s="91" t="s">
        <v>23</v>
      </c>
      <c r="B43" s="91" t="s">
        <v>24</v>
      </c>
      <c r="C43" s="90" t="s">
        <v>94</v>
      </c>
      <c r="D43" s="124"/>
      <c r="E43" s="124"/>
      <c r="F43" s="125">
        <v>45894</v>
      </c>
      <c r="G43" s="126">
        <v>45894</v>
      </c>
      <c r="H43">
        <f>IF(Tabela4[[#This Row],[Data Real]]&lt;&gt;0,1,"")</f>
        <v>1</v>
      </c>
      <c r="I43">
        <v>42</v>
      </c>
      <c r="K43" s="44">
        <v>45894</v>
      </c>
      <c r="M43" s="22" t="s">
        <v>32</v>
      </c>
    </row>
    <row r="44" spans="1:13">
      <c r="A44" s="91" t="s">
        <v>23</v>
      </c>
      <c r="B44" s="91" t="s">
        <v>24</v>
      </c>
      <c r="C44" s="90" t="s">
        <v>95</v>
      </c>
      <c r="D44" s="124"/>
      <c r="E44" s="124"/>
      <c r="F44" s="125">
        <v>45953</v>
      </c>
      <c r="G44" s="125">
        <v>45953</v>
      </c>
      <c r="H44">
        <f>IF(Tabela4[[#This Row],[Data Real]]&lt;&gt;0,1,"")</f>
        <v>1</v>
      </c>
      <c r="I44">
        <v>43</v>
      </c>
      <c r="K44" s="44">
        <v>45937</v>
      </c>
      <c r="L44" t="str">
        <f>IF(AND(Tabela4[[#This Row],[Data Real]]="",Tabela4[[#This Row],[Data Planejada]]&lt;&gt;"")=TRUE,"🚩","✅")</f>
        <v>✅</v>
      </c>
      <c r="M44" s="22" t="s">
        <v>32</v>
      </c>
    </row>
    <row r="45" spans="1:13">
      <c r="A45" s="91" t="s">
        <v>23</v>
      </c>
      <c r="B45" s="91" t="s">
        <v>24</v>
      </c>
      <c r="C45" s="90" t="s">
        <v>96</v>
      </c>
      <c r="D45" s="124"/>
      <c r="E45" s="124"/>
      <c r="F45" s="125">
        <v>46049</v>
      </c>
      <c r="G45" s="126"/>
      <c r="H45" t="str">
        <f>IF(Tabela4[[#This Row],[Data Real]]&lt;&gt;0,1,"")</f>
        <v/>
      </c>
      <c r="I45">
        <v>44</v>
      </c>
      <c r="K45" s="44">
        <v>46140</v>
      </c>
      <c r="M45" s="22" t="s">
        <v>32</v>
      </c>
    </row>
    <row r="46" spans="1:13">
      <c r="A46" s="91" t="s">
        <v>23</v>
      </c>
      <c r="B46" s="91" t="s">
        <v>24</v>
      </c>
      <c r="C46" s="90" t="s">
        <v>97</v>
      </c>
      <c r="D46" s="124"/>
      <c r="E46" s="124"/>
      <c r="F46" s="125">
        <v>46198</v>
      </c>
      <c r="G46" s="126"/>
      <c r="H46" t="str">
        <f>IF(Tabela4[[#This Row],[Data Real]]&lt;&gt;0,1,"")</f>
        <v/>
      </c>
      <c r="I46">
        <v>45</v>
      </c>
      <c r="K46" s="44">
        <v>46177</v>
      </c>
      <c r="M46" s="22" t="s">
        <v>32</v>
      </c>
    </row>
    <row r="47" spans="1:13">
      <c r="A47" s="91" t="s">
        <v>23</v>
      </c>
      <c r="B47" s="91" t="s">
        <v>24</v>
      </c>
      <c r="C47" s="90" t="s">
        <v>76</v>
      </c>
      <c r="D47" s="124"/>
      <c r="E47" s="124"/>
      <c r="F47" s="125">
        <f>F14</f>
        <v>46280</v>
      </c>
      <c r="G47" s="126"/>
      <c r="H47" t="str">
        <f>IF(Tabela4[[#This Row],[Data Real]]&lt;&gt;0,1,"")</f>
        <v/>
      </c>
      <c r="I47">
        <v>46</v>
      </c>
      <c r="K47" s="44">
        <f>K14</f>
        <v>46290</v>
      </c>
      <c r="M47" s="22" t="s">
        <v>32</v>
      </c>
    </row>
    <row r="48" spans="1:13">
      <c r="A48" s="71"/>
      <c r="B48" s="70"/>
      <c r="C48" s="104"/>
      <c r="D48" s="105"/>
      <c r="E48" s="106"/>
      <c r="F48" s="105"/>
      <c r="G48" s="107"/>
      <c r="H48" s="55" t="str">
        <f>IF(Tabela4[[#This Row],[Data Real]]&lt;&gt;0,1,"")</f>
        <v/>
      </c>
      <c r="I48">
        <v>47</v>
      </c>
      <c r="J48" s="55"/>
      <c r="K48" s="55"/>
      <c r="L48" s="55" t="str">
        <f>IF(AND(Tabela4[[#This Row],[Data Real]]="",Tabela4[[#This Row],[Data Planejada]]&lt;&gt;"")=TRUE,"🚩","✅")</f>
        <v>✅</v>
      </c>
      <c r="M48" s="55" t="str">
        <f>IF(AND(Tabela4[[#This Row],[Data Real]]="",Tabela4[[#This Row],[Data Planejada]]&lt;&gt;"")=TRUE,"🚩","✅")</f>
        <v>✅</v>
      </c>
    </row>
    <row r="49" spans="1:13">
      <c r="A49" s="64" t="str">
        <f>A2</f>
        <v>PSX25001</v>
      </c>
      <c r="B49" s="65" t="str">
        <f>_xlfn.TRANSLATE(B2,"pt","en")</f>
        <v>SUAPEK X Program</v>
      </c>
      <c r="C49" s="66" t="str">
        <f>_xlfn.TRANSLATE(C2,"pt","en")</f>
        <v>Start of Studies (ALPEK)</v>
      </c>
      <c r="D49" s="67" t="str">
        <f>_xlfn.TRANSLATE(D2,"pt","en")</f>
        <v/>
      </c>
      <c r="E49" s="67" t="str">
        <f>_xlfn.TRANSLATE(E2,"pt","en")</f>
        <v/>
      </c>
      <c r="F49" s="68">
        <f>F2</f>
        <v>45755</v>
      </c>
      <c r="G49" s="69">
        <f>IF(G2 = "","",G2)</f>
        <v>45755</v>
      </c>
      <c r="H49" s="63">
        <f>H2</f>
        <v>1</v>
      </c>
      <c r="I49">
        <v>48</v>
      </c>
      <c r="J49" t="str">
        <f>IF(J2=0,"",J2)</f>
        <v/>
      </c>
      <c r="K49" s="62">
        <f>K2</f>
        <v>45755</v>
      </c>
      <c r="L49" s="19" t="str">
        <f>IF(L2=0,"",L2)</f>
        <v>✅</v>
      </c>
      <c r="M49" t="s">
        <v>37</v>
      </c>
    </row>
  </sheetData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&amp;L_x000D_&amp;1#&amp;"Calibri"&amp;10&amp;K000000 Public Information</oddFooter>
  </headerFooter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9B819-71E4-4EFA-B2FA-C59138AB6B16}">
  <dimension ref="A1:E37"/>
  <sheetViews>
    <sheetView zoomScaleNormal="100" workbookViewId="0">
      <selection activeCell="E13" sqref="E13"/>
    </sheetView>
  </sheetViews>
  <sheetFormatPr defaultRowHeight="14.5"/>
  <cols>
    <col min="1" max="1" width="13.81640625" customWidth="1"/>
    <col min="2" max="2" width="27.26953125" customWidth="1"/>
    <col min="3" max="3" width="92.26953125" customWidth="1"/>
    <col min="4" max="4" width="9" style="19" customWidth="1"/>
  </cols>
  <sheetData>
    <row r="1" spans="1:5">
      <c r="A1" t="s">
        <v>6</v>
      </c>
      <c r="B1" t="s">
        <v>15</v>
      </c>
      <c r="C1" t="s">
        <v>108</v>
      </c>
      <c r="D1" s="19" t="s">
        <v>27</v>
      </c>
      <c r="E1" t="s">
        <v>29</v>
      </c>
    </row>
    <row r="2" spans="1:5">
      <c r="A2" s="137" t="s">
        <v>12</v>
      </c>
      <c r="B2" s="137" t="s">
        <v>10</v>
      </c>
      <c r="C2" s="21" t="s">
        <v>175</v>
      </c>
      <c r="D2">
        <v>1</v>
      </c>
      <c r="E2" s="22" t="s">
        <v>32</v>
      </c>
    </row>
    <row r="3" spans="1:5">
      <c r="A3" s="137" t="s">
        <v>12</v>
      </c>
      <c r="B3" s="137" t="s">
        <v>10</v>
      </c>
      <c r="C3" s="21" t="s">
        <v>111</v>
      </c>
      <c r="D3">
        <v>2</v>
      </c>
      <c r="E3" s="22" t="s">
        <v>32</v>
      </c>
    </row>
    <row r="4" spans="1:5">
      <c r="A4" s="137" t="s">
        <v>12</v>
      </c>
      <c r="B4" s="137" t="s">
        <v>10</v>
      </c>
      <c r="C4" s="21" t="s">
        <v>109</v>
      </c>
      <c r="D4">
        <v>3</v>
      </c>
      <c r="E4" s="22" t="s">
        <v>32</v>
      </c>
    </row>
    <row r="5" spans="1:5">
      <c r="A5" s="137" t="s">
        <v>12</v>
      </c>
      <c r="B5" s="137" t="s">
        <v>10</v>
      </c>
      <c r="C5" s="21" t="s">
        <v>173</v>
      </c>
      <c r="D5">
        <v>4</v>
      </c>
      <c r="E5" s="22" t="s">
        <v>32</v>
      </c>
    </row>
    <row r="6" spans="1:5">
      <c r="A6" s="137" t="s">
        <v>12</v>
      </c>
      <c r="B6" s="137" t="s">
        <v>10</v>
      </c>
      <c r="C6" s="21" t="s">
        <v>174</v>
      </c>
      <c r="D6">
        <v>5</v>
      </c>
      <c r="E6" s="22" t="s">
        <v>32</v>
      </c>
    </row>
    <row r="7" spans="1:5">
      <c r="A7" s="137" t="s">
        <v>12</v>
      </c>
      <c r="B7" s="137" t="s">
        <v>10</v>
      </c>
      <c r="C7" s="21" t="s">
        <v>171</v>
      </c>
      <c r="D7">
        <v>6</v>
      </c>
      <c r="E7" s="22" t="s">
        <v>32</v>
      </c>
    </row>
    <row r="8" spans="1:5">
      <c r="A8" s="137" t="s">
        <v>12</v>
      </c>
      <c r="B8" s="137" t="s">
        <v>10</v>
      </c>
      <c r="C8" s="127" t="s">
        <v>182</v>
      </c>
      <c r="D8">
        <v>7</v>
      </c>
      <c r="E8" s="22" t="s">
        <v>32</v>
      </c>
    </row>
    <row r="9" spans="1:5">
      <c r="A9" s="137" t="s">
        <v>12</v>
      </c>
      <c r="B9" s="137" t="s">
        <v>10</v>
      </c>
      <c r="C9" s="127" t="s">
        <v>183</v>
      </c>
      <c r="D9">
        <v>8</v>
      </c>
      <c r="E9" s="22" t="s">
        <v>32</v>
      </c>
    </row>
    <row r="10" spans="1:5">
      <c r="A10" s="137" t="s">
        <v>12</v>
      </c>
      <c r="B10" s="137" t="s">
        <v>10</v>
      </c>
      <c r="C10" s="127" t="s">
        <v>187</v>
      </c>
      <c r="D10">
        <v>9</v>
      </c>
      <c r="E10" s="22" t="s">
        <v>32</v>
      </c>
    </row>
    <row r="11" spans="1:5">
      <c r="A11" s="137" t="s">
        <v>12</v>
      </c>
      <c r="B11" s="137" t="s">
        <v>10</v>
      </c>
      <c r="C11" s="21" t="s">
        <v>211</v>
      </c>
      <c r="D11">
        <v>10</v>
      </c>
      <c r="E11" s="22" t="s">
        <v>32</v>
      </c>
    </row>
    <row r="12" spans="1:5">
      <c r="A12" s="137" t="s">
        <v>12</v>
      </c>
      <c r="B12" s="137" t="s">
        <v>10</v>
      </c>
      <c r="C12" s="127" t="s">
        <v>199</v>
      </c>
      <c r="D12">
        <v>11</v>
      </c>
      <c r="E12" s="22" t="s">
        <v>32</v>
      </c>
    </row>
    <row r="13" spans="1:5">
      <c r="A13" s="15" t="s">
        <v>21</v>
      </c>
      <c r="B13" s="13" t="s">
        <v>22</v>
      </c>
      <c r="C13" s="127" t="s">
        <v>213</v>
      </c>
      <c r="D13">
        <v>12</v>
      </c>
      <c r="E13" s="22" t="s">
        <v>32</v>
      </c>
    </row>
    <row r="14" spans="1:5">
      <c r="A14" s="15" t="s">
        <v>21</v>
      </c>
      <c r="B14" s="13" t="s">
        <v>22</v>
      </c>
      <c r="C14" s="21" t="s">
        <v>180</v>
      </c>
      <c r="D14">
        <v>13</v>
      </c>
      <c r="E14" s="22" t="s">
        <v>32</v>
      </c>
    </row>
    <row r="15" spans="1:5">
      <c r="A15" s="15" t="s">
        <v>21</v>
      </c>
      <c r="B15" s="13" t="s">
        <v>22</v>
      </c>
      <c r="C15" s="127" t="s">
        <v>205</v>
      </c>
      <c r="D15">
        <v>14</v>
      </c>
      <c r="E15" s="22" t="s">
        <v>32</v>
      </c>
    </row>
    <row r="16" spans="1:5">
      <c r="A16" s="15" t="s">
        <v>21</v>
      </c>
      <c r="B16" s="13" t="s">
        <v>22</v>
      </c>
      <c r="C16" s="127" t="s">
        <v>206</v>
      </c>
      <c r="D16">
        <v>15</v>
      </c>
      <c r="E16" s="22" t="s">
        <v>32</v>
      </c>
    </row>
    <row r="17" spans="1:5">
      <c r="A17" s="15" t="s">
        <v>21</v>
      </c>
      <c r="B17" s="13" t="s">
        <v>22</v>
      </c>
      <c r="C17" s="21" t="s">
        <v>207</v>
      </c>
      <c r="D17">
        <v>16</v>
      </c>
      <c r="E17" s="22" t="s">
        <v>32</v>
      </c>
    </row>
    <row r="18" spans="1:5">
      <c r="A18" s="15" t="s">
        <v>21</v>
      </c>
      <c r="B18" s="13" t="s">
        <v>22</v>
      </c>
      <c r="C18" s="127" t="s">
        <v>208</v>
      </c>
      <c r="D18">
        <v>17</v>
      </c>
      <c r="E18" s="22" t="s">
        <v>32</v>
      </c>
    </row>
    <row r="19" spans="1:5">
      <c r="A19" s="15" t="s">
        <v>21</v>
      </c>
      <c r="B19" s="13" t="s">
        <v>22</v>
      </c>
      <c r="C19" s="127" t="s">
        <v>198</v>
      </c>
      <c r="D19">
        <v>18</v>
      </c>
      <c r="E19" s="22" t="s">
        <v>32</v>
      </c>
    </row>
    <row r="20" spans="1:5">
      <c r="A20" s="15" t="s">
        <v>21</v>
      </c>
      <c r="B20" s="13" t="s">
        <v>22</v>
      </c>
      <c r="C20" s="21" t="s">
        <v>210</v>
      </c>
      <c r="D20">
        <v>19</v>
      </c>
      <c r="E20" s="22" t="s">
        <v>32</v>
      </c>
    </row>
    <row r="21" spans="1:5">
      <c r="A21" s="15" t="s">
        <v>21</v>
      </c>
      <c r="B21" s="13" t="s">
        <v>22</v>
      </c>
      <c r="C21" s="127" t="s">
        <v>201</v>
      </c>
      <c r="D21">
        <v>20</v>
      </c>
      <c r="E21" s="22" t="s">
        <v>32</v>
      </c>
    </row>
    <row r="22" spans="1:5">
      <c r="A22" s="15" t="s">
        <v>21</v>
      </c>
      <c r="B22" s="13" t="s">
        <v>22</v>
      </c>
      <c r="C22" s="127" t="s">
        <v>184</v>
      </c>
      <c r="D22">
        <v>21</v>
      </c>
      <c r="E22" s="22" t="s">
        <v>32</v>
      </c>
    </row>
    <row r="23" spans="1:5">
      <c r="A23" s="115" t="s">
        <v>19</v>
      </c>
      <c r="B23" s="115" t="s">
        <v>20</v>
      </c>
      <c r="C23" s="127" t="s">
        <v>179</v>
      </c>
      <c r="D23">
        <v>22</v>
      </c>
      <c r="E23" s="22" t="s">
        <v>32</v>
      </c>
    </row>
    <row r="24" spans="1:5">
      <c r="A24" s="15" t="s">
        <v>17</v>
      </c>
      <c r="B24" s="13" t="s">
        <v>18</v>
      </c>
      <c r="C24" s="21" t="s">
        <v>188</v>
      </c>
      <c r="D24">
        <v>23</v>
      </c>
      <c r="E24" s="22" t="s">
        <v>32</v>
      </c>
    </row>
    <row r="25" spans="1:5">
      <c r="A25" s="15" t="s">
        <v>17</v>
      </c>
      <c r="B25" s="13" t="s">
        <v>18</v>
      </c>
      <c r="C25" s="127" t="s">
        <v>195</v>
      </c>
      <c r="D25">
        <v>24</v>
      </c>
      <c r="E25" s="22" t="s">
        <v>32</v>
      </c>
    </row>
    <row r="26" spans="1:5">
      <c r="A26" s="15" t="s">
        <v>17</v>
      </c>
      <c r="B26" s="13" t="s">
        <v>18</v>
      </c>
      <c r="C26" s="127" t="s">
        <v>194</v>
      </c>
      <c r="D26">
        <v>25</v>
      </c>
      <c r="E26" s="22" t="s">
        <v>32</v>
      </c>
    </row>
    <row r="27" spans="1:5">
      <c r="A27" s="15" t="s">
        <v>17</v>
      </c>
      <c r="B27" s="13" t="s">
        <v>18</v>
      </c>
      <c r="C27" s="127" t="s">
        <v>202</v>
      </c>
      <c r="D27">
        <v>26</v>
      </c>
      <c r="E27" s="22" t="s">
        <v>32</v>
      </c>
    </row>
    <row r="28" spans="1:5">
      <c r="A28" s="15" t="s">
        <v>17</v>
      </c>
      <c r="B28" s="13" t="s">
        <v>18</v>
      </c>
      <c r="C28" s="127" t="s">
        <v>193</v>
      </c>
      <c r="D28">
        <v>27</v>
      </c>
      <c r="E28" s="22" t="s">
        <v>32</v>
      </c>
    </row>
    <row r="29" spans="1:5">
      <c r="A29" s="15" t="s">
        <v>17</v>
      </c>
      <c r="B29" s="13" t="s">
        <v>18</v>
      </c>
      <c r="C29" s="127" t="s">
        <v>186</v>
      </c>
      <c r="D29">
        <v>28</v>
      </c>
      <c r="E29" s="22" t="s">
        <v>32</v>
      </c>
    </row>
    <row r="30" spans="1:5">
      <c r="A30" s="15" t="s">
        <v>17</v>
      </c>
      <c r="B30" s="13" t="s">
        <v>18</v>
      </c>
      <c r="C30" s="21" t="s">
        <v>177</v>
      </c>
      <c r="D30">
        <v>29</v>
      </c>
      <c r="E30" s="22" t="s">
        <v>32</v>
      </c>
    </row>
    <row r="31" spans="1:5">
      <c r="A31" s="15" t="s">
        <v>17</v>
      </c>
      <c r="B31" s="13" t="s">
        <v>18</v>
      </c>
      <c r="C31" s="21" t="s">
        <v>210</v>
      </c>
      <c r="D31">
        <v>30</v>
      </c>
      <c r="E31" s="22" t="s">
        <v>32</v>
      </c>
    </row>
    <row r="32" spans="1:5">
      <c r="A32" s="15" t="s">
        <v>17</v>
      </c>
      <c r="B32" s="13" t="s">
        <v>18</v>
      </c>
      <c r="C32" s="127" t="s">
        <v>196</v>
      </c>
      <c r="D32">
        <v>31</v>
      </c>
      <c r="E32" s="22" t="s">
        <v>32</v>
      </c>
    </row>
    <row r="33" spans="1:5">
      <c r="A33" s="15" t="s">
        <v>17</v>
      </c>
      <c r="B33" s="13" t="s">
        <v>18</v>
      </c>
      <c r="C33" s="21" t="s">
        <v>181</v>
      </c>
      <c r="D33">
        <v>32</v>
      </c>
      <c r="E33" s="22" t="s">
        <v>32</v>
      </c>
    </row>
    <row r="34" spans="1:5">
      <c r="A34" s="15" t="s">
        <v>17</v>
      </c>
      <c r="B34" s="13" t="s">
        <v>18</v>
      </c>
      <c r="C34" s="21" t="s">
        <v>200</v>
      </c>
      <c r="D34">
        <v>33</v>
      </c>
      <c r="E34" s="22" t="s">
        <v>32</v>
      </c>
    </row>
    <row r="35" spans="1:5">
      <c r="A35" s="15" t="s">
        <v>17</v>
      </c>
      <c r="B35" s="13" t="s">
        <v>18</v>
      </c>
      <c r="C35" s="21" t="s">
        <v>204</v>
      </c>
      <c r="D35">
        <v>34</v>
      </c>
      <c r="E35" s="22" t="s">
        <v>32</v>
      </c>
    </row>
    <row r="36" spans="1:5">
      <c r="A36" s="52"/>
      <c r="B36" s="53"/>
      <c r="C36" s="54"/>
      <c r="D36">
        <v>35</v>
      </c>
      <c r="E36" s="55"/>
    </row>
    <row r="37" spans="1:5" ht="21.75" customHeight="1">
      <c r="A37" s="15" t="str">
        <f>A2</f>
        <v>PRJ24003</v>
      </c>
      <c r="B37" s="21" t="str">
        <f>_xlfn.TRANSLATE(B2,"pt","en")</f>
        <v>SUAPEK X Program</v>
      </c>
      <c r="C37" s="21" t="str">
        <f>_xlfn.TRANSLATE(C2,"pt","en")</f>
        <v>Ongoing manufacture of the Plenum of Air - Camfil / Zeppelin</v>
      </c>
      <c r="D37">
        <v>36</v>
      </c>
      <c r="E37" s="46" t="s">
        <v>37</v>
      </c>
    </row>
  </sheetData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55E61-F1D9-418B-905A-F419C3296F77}">
  <dimension ref="A1:E31"/>
  <sheetViews>
    <sheetView topLeftCell="A14" zoomScaleNormal="100" workbookViewId="0">
      <selection activeCell="A35" sqref="A33:A35"/>
    </sheetView>
  </sheetViews>
  <sheetFormatPr defaultRowHeight="14.5"/>
  <cols>
    <col min="1" max="1" width="24.1796875" customWidth="1"/>
    <col min="2" max="2" width="22.1796875" customWidth="1"/>
    <col min="3" max="3" width="88" customWidth="1"/>
    <col min="4" max="4" width="15" customWidth="1"/>
  </cols>
  <sheetData>
    <row r="1" spans="1:5">
      <c r="A1" t="s">
        <v>6</v>
      </c>
      <c r="B1" t="s">
        <v>15</v>
      </c>
      <c r="C1" t="s">
        <v>110</v>
      </c>
      <c r="D1" t="s">
        <v>27</v>
      </c>
      <c r="E1" t="s">
        <v>29</v>
      </c>
    </row>
    <row r="2" spans="1:5" s="22" customFormat="1">
      <c r="A2" s="137" t="s">
        <v>12</v>
      </c>
      <c r="B2" s="137" t="s">
        <v>10</v>
      </c>
      <c r="C2" s="21" t="s">
        <v>175</v>
      </c>
      <c r="D2">
        <v>1</v>
      </c>
      <c r="E2" s="22" t="s">
        <v>32</v>
      </c>
    </row>
    <row r="3" spans="1:5" s="22" customFormat="1">
      <c r="A3" s="137" t="s">
        <v>12</v>
      </c>
      <c r="B3" s="137" t="s">
        <v>10</v>
      </c>
      <c r="C3" s="21" t="s">
        <v>111</v>
      </c>
      <c r="D3">
        <v>2</v>
      </c>
      <c r="E3" s="22" t="s">
        <v>32</v>
      </c>
    </row>
    <row r="4" spans="1:5" s="22" customFormat="1">
      <c r="A4" s="137" t="s">
        <v>12</v>
      </c>
      <c r="B4" s="137" t="s">
        <v>10</v>
      </c>
      <c r="C4" s="21" t="s">
        <v>109</v>
      </c>
      <c r="D4">
        <v>3</v>
      </c>
      <c r="E4" s="22" t="s">
        <v>32</v>
      </c>
    </row>
    <row r="5" spans="1:5" s="22" customFormat="1">
      <c r="A5" s="137" t="s">
        <v>12</v>
      </c>
      <c r="B5" s="137" t="s">
        <v>10</v>
      </c>
      <c r="C5" s="21" t="s">
        <v>173</v>
      </c>
      <c r="D5">
        <v>4</v>
      </c>
      <c r="E5" s="22" t="s">
        <v>32</v>
      </c>
    </row>
    <row r="6" spans="1:5" s="22" customFormat="1">
      <c r="A6" s="137" t="s">
        <v>12</v>
      </c>
      <c r="B6" s="137" t="s">
        <v>10</v>
      </c>
      <c r="C6" s="21" t="s">
        <v>174</v>
      </c>
      <c r="D6">
        <v>5</v>
      </c>
      <c r="E6" s="22" t="s">
        <v>32</v>
      </c>
    </row>
    <row r="7" spans="1:5" s="22" customFormat="1">
      <c r="A7" s="137" t="s">
        <v>12</v>
      </c>
      <c r="B7" s="137" t="s">
        <v>10</v>
      </c>
      <c r="C7" s="21" t="s">
        <v>171</v>
      </c>
      <c r="D7">
        <v>6</v>
      </c>
      <c r="E7" s="22" t="s">
        <v>32</v>
      </c>
    </row>
    <row r="8" spans="1:5" ht="14.5" customHeight="1">
      <c r="A8" s="137" t="s">
        <v>12</v>
      </c>
      <c r="B8" s="137" t="s">
        <v>10</v>
      </c>
      <c r="C8" s="127" t="s">
        <v>215</v>
      </c>
      <c r="D8">
        <v>7</v>
      </c>
      <c r="E8" s="22" t="s">
        <v>32</v>
      </c>
    </row>
    <row r="9" spans="1:5" ht="14.5" customHeight="1">
      <c r="A9" s="137" t="s">
        <v>12</v>
      </c>
      <c r="B9" s="137" t="s">
        <v>10</v>
      </c>
      <c r="C9" s="21" t="s">
        <v>212</v>
      </c>
      <c r="D9">
        <v>8</v>
      </c>
      <c r="E9" s="22" t="s">
        <v>32</v>
      </c>
    </row>
    <row r="10" spans="1:5" ht="23" customHeight="1">
      <c r="A10" s="137" t="s">
        <v>12</v>
      </c>
      <c r="B10" s="137" t="s">
        <v>10</v>
      </c>
      <c r="C10" s="21" t="s">
        <v>185</v>
      </c>
      <c r="D10">
        <v>9</v>
      </c>
      <c r="E10" s="22" t="s">
        <v>32</v>
      </c>
    </row>
    <row r="11" spans="1:5" ht="23" customHeight="1">
      <c r="A11" s="137" t="s">
        <v>12</v>
      </c>
      <c r="B11" s="137" t="s">
        <v>10</v>
      </c>
      <c r="C11" s="21" t="s">
        <v>216</v>
      </c>
      <c r="D11">
        <v>10</v>
      </c>
      <c r="E11" s="22" t="s">
        <v>32</v>
      </c>
    </row>
    <row r="12" spans="1:5">
      <c r="A12" s="15" t="s">
        <v>21</v>
      </c>
      <c r="B12" s="13" t="s">
        <v>22</v>
      </c>
      <c r="C12" s="127" t="s">
        <v>189</v>
      </c>
      <c r="D12">
        <v>11</v>
      </c>
      <c r="E12" s="22" t="s">
        <v>32</v>
      </c>
    </row>
    <row r="13" spans="1:5">
      <c r="A13" s="15" t="s">
        <v>21</v>
      </c>
      <c r="B13" s="13" t="s">
        <v>22</v>
      </c>
      <c r="C13" s="127" t="s">
        <v>214</v>
      </c>
      <c r="D13">
        <v>12</v>
      </c>
      <c r="E13" s="22" t="s">
        <v>32</v>
      </c>
    </row>
    <row r="14" spans="1:5">
      <c r="A14" s="15" t="s">
        <v>21</v>
      </c>
      <c r="B14" s="13" t="s">
        <v>22</v>
      </c>
      <c r="C14" s="127" t="s">
        <v>171</v>
      </c>
      <c r="D14">
        <v>13</v>
      </c>
      <c r="E14" s="22" t="s">
        <v>32</v>
      </c>
    </row>
    <row r="15" spans="1:5">
      <c r="A15" s="15" t="s">
        <v>21</v>
      </c>
      <c r="B15" s="13" t="s">
        <v>22</v>
      </c>
      <c r="C15" s="21" t="s">
        <v>209</v>
      </c>
      <c r="D15">
        <v>14</v>
      </c>
      <c r="E15" s="22" t="s">
        <v>32</v>
      </c>
    </row>
    <row r="16" spans="1:5">
      <c r="A16" s="15" t="s">
        <v>21</v>
      </c>
      <c r="B16" s="13" t="s">
        <v>22</v>
      </c>
      <c r="C16" s="127" t="s">
        <v>191</v>
      </c>
      <c r="D16">
        <v>15</v>
      </c>
      <c r="E16" s="22" t="s">
        <v>32</v>
      </c>
    </row>
    <row r="17" spans="1:5">
      <c r="A17" s="15" t="s">
        <v>21</v>
      </c>
      <c r="B17" s="13" t="s">
        <v>22</v>
      </c>
      <c r="C17" s="127" t="s">
        <v>192</v>
      </c>
      <c r="D17">
        <v>16</v>
      </c>
      <c r="E17" s="22" t="s">
        <v>32</v>
      </c>
    </row>
    <row r="18" spans="1:5">
      <c r="A18" s="15" t="s">
        <v>21</v>
      </c>
      <c r="B18" s="13" t="s">
        <v>22</v>
      </c>
      <c r="C18" s="127" t="s">
        <v>190</v>
      </c>
      <c r="D18">
        <v>17</v>
      </c>
      <c r="E18" s="22" t="s">
        <v>32</v>
      </c>
    </row>
    <row r="19" spans="1:5">
      <c r="A19" s="15" t="s">
        <v>21</v>
      </c>
      <c r="B19" s="13" t="s">
        <v>22</v>
      </c>
      <c r="C19" s="127" t="s">
        <v>218</v>
      </c>
      <c r="D19">
        <v>18</v>
      </c>
      <c r="E19" s="22" t="s">
        <v>32</v>
      </c>
    </row>
    <row r="20" spans="1:5">
      <c r="A20" s="15" t="s">
        <v>21</v>
      </c>
      <c r="B20" s="13" t="s">
        <v>22</v>
      </c>
      <c r="C20" s="127" t="s">
        <v>219</v>
      </c>
      <c r="D20">
        <v>19</v>
      </c>
      <c r="E20" s="22" t="s">
        <v>32</v>
      </c>
    </row>
    <row r="21" spans="1:5">
      <c r="A21" s="115" t="s">
        <v>19</v>
      </c>
      <c r="B21" s="115" t="s">
        <v>20</v>
      </c>
      <c r="C21" s="21" t="s">
        <v>179</v>
      </c>
      <c r="D21">
        <v>20</v>
      </c>
      <c r="E21" s="22" t="s">
        <v>32</v>
      </c>
    </row>
    <row r="22" spans="1:5">
      <c r="A22" s="15" t="s">
        <v>17</v>
      </c>
      <c r="B22" s="13" t="s">
        <v>18</v>
      </c>
      <c r="C22" s="21" t="s">
        <v>195</v>
      </c>
      <c r="D22">
        <v>21</v>
      </c>
      <c r="E22" s="22" t="s">
        <v>32</v>
      </c>
    </row>
    <row r="23" spans="1:5">
      <c r="A23" s="15" t="s">
        <v>17</v>
      </c>
      <c r="B23" s="13" t="s">
        <v>18</v>
      </c>
      <c r="C23" s="21" t="s">
        <v>194</v>
      </c>
      <c r="D23">
        <v>22</v>
      </c>
      <c r="E23" s="22" t="s">
        <v>32</v>
      </c>
    </row>
    <row r="24" spans="1:5">
      <c r="A24" s="15" t="s">
        <v>17</v>
      </c>
      <c r="B24" s="13" t="s">
        <v>18</v>
      </c>
      <c r="C24" s="21" t="s">
        <v>203</v>
      </c>
      <c r="D24">
        <v>23</v>
      </c>
      <c r="E24" s="22" t="s">
        <v>32</v>
      </c>
    </row>
    <row r="25" spans="1:5">
      <c r="A25" s="15" t="s">
        <v>17</v>
      </c>
      <c r="B25" s="13" t="s">
        <v>18</v>
      </c>
      <c r="C25" s="21" t="s">
        <v>177</v>
      </c>
      <c r="D25">
        <v>24</v>
      </c>
      <c r="E25" s="22" t="s">
        <v>32</v>
      </c>
    </row>
    <row r="26" spans="1:5">
      <c r="A26" s="15" t="s">
        <v>17</v>
      </c>
      <c r="B26" s="13" t="s">
        <v>18</v>
      </c>
      <c r="C26" s="127" t="s">
        <v>196</v>
      </c>
      <c r="D26">
        <v>25</v>
      </c>
      <c r="E26" s="22" t="s">
        <v>32</v>
      </c>
    </row>
    <row r="27" spans="1:5">
      <c r="A27" s="15" t="s">
        <v>17</v>
      </c>
      <c r="B27" s="13" t="s">
        <v>18</v>
      </c>
      <c r="C27" s="21" t="s">
        <v>181</v>
      </c>
      <c r="D27">
        <v>26</v>
      </c>
      <c r="E27" s="22" t="s">
        <v>32</v>
      </c>
    </row>
    <row r="28" spans="1:5">
      <c r="A28" s="15" t="s">
        <v>17</v>
      </c>
      <c r="B28" s="13" t="s">
        <v>18</v>
      </c>
      <c r="C28" s="21" t="s">
        <v>200</v>
      </c>
      <c r="D28">
        <v>27</v>
      </c>
      <c r="E28" s="22" t="s">
        <v>32</v>
      </c>
    </row>
    <row r="29" spans="1:5">
      <c r="A29" s="15" t="s">
        <v>17</v>
      </c>
      <c r="B29" s="13" t="s">
        <v>18</v>
      </c>
      <c r="C29" s="21" t="s">
        <v>204</v>
      </c>
      <c r="D29">
        <v>28</v>
      </c>
      <c r="E29" s="22" t="s">
        <v>32</v>
      </c>
    </row>
    <row r="30" spans="1:5">
      <c r="A30" s="15" t="s">
        <v>17</v>
      </c>
      <c r="B30" s="13" t="s">
        <v>18</v>
      </c>
      <c r="C30" t="s">
        <v>217</v>
      </c>
      <c r="D30">
        <v>29</v>
      </c>
      <c r="E30" s="22" t="s">
        <v>32</v>
      </c>
    </row>
    <row r="31" spans="1:5">
      <c r="A31" s="52"/>
      <c r="B31" s="53"/>
      <c r="C31" s="54"/>
      <c r="D31">
        <v>30</v>
      </c>
      <c r="E31" s="55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2B5E6-01E1-4BEF-95FF-2D1081CCDA81}">
  <dimension ref="A1:E8"/>
  <sheetViews>
    <sheetView workbookViewId="0">
      <selection activeCell="C16" sqref="C16"/>
    </sheetView>
  </sheetViews>
  <sheetFormatPr defaultRowHeight="14.5"/>
  <cols>
    <col min="1" max="1" width="14.81640625" customWidth="1"/>
    <col min="2" max="2" width="20.26953125" customWidth="1"/>
    <col min="3" max="3" width="61.453125" customWidth="1"/>
  </cols>
  <sheetData>
    <row r="1" spans="1:5">
      <c r="A1" t="s">
        <v>6</v>
      </c>
      <c r="B1" t="s">
        <v>15</v>
      </c>
      <c r="C1" t="s">
        <v>112</v>
      </c>
      <c r="D1" t="s">
        <v>66</v>
      </c>
      <c r="E1" t="s">
        <v>29</v>
      </c>
    </row>
    <row r="2" spans="1:5">
      <c r="A2" t="s">
        <v>16</v>
      </c>
      <c r="B2" s="1" t="s">
        <v>10</v>
      </c>
      <c r="C2" s="6" t="s">
        <v>113</v>
      </c>
      <c r="E2" s="22" t="s">
        <v>32</v>
      </c>
    </row>
    <row r="3" spans="1:5">
      <c r="A3" t="s">
        <v>16</v>
      </c>
      <c r="B3" s="1" t="s">
        <v>10</v>
      </c>
      <c r="C3" s="6" t="s">
        <v>165</v>
      </c>
      <c r="E3" s="22" t="s">
        <v>32</v>
      </c>
    </row>
    <row r="4" spans="1:5">
      <c r="A4" t="s">
        <v>16</v>
      </c>
      <c r="B4" s="1" t="s">
        <v>10</v>
      </c>
      <c r="C4" s="6" t="s">
        <v>166</v>
      </c>
      <c r="E4" s="22" t="s">
        <v>32</v>
      </c>
    </row>
    <row r="5" spans="1:5" ht="26">
      <c r="A5" t="s">
        <v>16</v>
      </c>
      <c r="B5" s="1" t="s">
        <v>10</v>
      </c>
      <c r="C5" s="6" t="s">
        <v>176</v>
      </c>
      <c r="E5" s="22" t="s">
        <v>32</v>
      </c>
    </row>
    <row r="6" spans="1:5">
      <c r="A6" t="s">
        <v>16</v>
      </c>
      <c r="B6" s="1" t="s">
        <v>10</v>
      </c>
      <c r="C6" s="6" t="s">
        <v>197</v>
      </c>
      <c r="E6" s="22" t="s">
        <v>32</v>
      </c>
    </row>
    <row r="7" spans="1:5">
      <c r="A7" s="55"/>
      <c r="B7" s="72"/>
      <c r="C7" s="80"/>
      <c r="D7" s="55"/>
      <c r="E7" s="55"/>
    </row>
    <row r="8" spans="1:5">
      <c r="A8" s="15" t="str">
        <f>A2</f>
        <v>PSX25001</v>
      </c>
      <c r="B8" s="51" t="str">
        <f>_xlfn.TRANSLATE(B2,"pt","en")</f>
        <v>SUAPEK X Program</v>
      </c>
      <c r="C8" s="51" t="str">
        <f>_xlfn.TRANSLATE(C2,"pt","en")</f>
        <v>Possibility of a fine for failure to meet the legal criteria of the REIQ</v>
      </c>
      <c r="D8" s="42">
        <f>D2</f>
        <v>0</v>
      </c>
      <c r="E8" s="46" t="s">
        <v>37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6C9F5-4282-4AF3-9D62-AC28468C7980}">
  <dimension ref="A1:C27"/>
  <sheetViews>
    <sheetView topLeftCell="A16" workbookViewId="0">
      <selection activeCell="H20" sqref="H20"/>
    </sheetView>
  </sheetViews>
  <sheetFormatPr defaultRowHeight="14.5"/>
  <cols>
    <col min="1" max="1" width="28.54296875" bestFit="1" customWidth="1"/>
    <col min="2" max="2" width="19.7265625" bestFit="1" customWidth="1"/>
    <col min="3" max="3" width="11.1796875" bestFit="1" customWidth="1"/>
  </cols>
  <sheetData>
    <row r="1" spans="1:3">
      <c r="A1" s="61" t="s">
        <v>114</v>
      </c>
      <c r="B1" s="61" t="s">
        <v>115</v>
      </c>
      <c r="C1" s="61" t="s">
        <v>54</v>
      </c>
    </row>
    <row r="2" spans="1:3">
      <c r="A2" s="56" t="s">
        <v>116</v>
      </c>
      <c r="B2" s="56" t="s">
        <v>117</v>
      </c>
      <c r="C2" s="57">
        <v>45870</v>
      </c>
    </row>
    <row r="3" spans="1:3">
      <c r="A3" s="56" t="s">
        <v>118</v>
      </c>
      <c r="B3" s="56" t="s">
        <v>119</v>
      </c>
      <c r="C3" s="57">
        <v>45901</v>
      </c>
    </row>
    <row r="4" spans="1:3">
      <c r="A4" s="56" t="s">
        <v>120</v>
      </c>
      <c r="B4" s="56" t="s">
        <v>121</v>
      </c>
      <c r="C4" s="57">
        <v>45931</v>
      </c>
    </row>
    <row r="5" spans="1:3">
      <c r="A5" s="56" t="s">
        <v>120</v>
      </c>
      <c r="B5" s="56" t="s">
        <v>122</v>
      </c>
      <c r="C5" s="57">
        <v>45962</v>
      </c>
    </row>
    <row r="6" spans="1:3">
      <c r="A6" s="56" t="s">
        <v>123</v>
      </c>
      <c r="B6" s="56" t="s">
        <v>124</v>
      </c>
      <c r="C6" s="57">
        <v>45901</v>
      </c>
    </row>
    <row r="7" spans="1:3">
      <c r="A7" s="56" t="s">
        <v>125</v>
      </c>
      <c r="B7" s="56" t="s">
        <v>126</v>
      </c>
      <c r="C7" s="57">
        <v>45901</v>
      </c>
    </row>
    <row r="8" spans="1:3">
      <c r="A8" s="56" t="s">
        <v>127</v>
      </c>
      <c r="B8" s="56" t="s">
        <v>128</v>
      </c>
      <c r="C8" s="57">
        <v>45901</v>
      </c>
    </row>
    <row r="9" spans="1:3">
      <c r="A9" s="56" t="s">
        <v>129</v>
      </c>
      <c r="B9" s="56" t="s">
        <v>130</v>
      </c>
      <c r="C9" s="57">
        <v>45901</v>
      </c>
    </row>
    <row r="10" spans="1:3">
      <c r="A10" s="56" t="s">
        <v>131</v>
      </c>
      <c r="B10" s="56" t="s">
        <v>132</v>
      </c>
      <c r="C10" s="57">
        <v>45901</v>
      </c>
    </row>
    <row r="11" spans="1:3">
      <c r="A11" s="56" t="s">
        <v>133</v>
      </c>
      <c r="B11" s="56" t="s">
        <v>134</v>
      </c>
      <c r="C11" s="57">
        <v>45901</v>
      </c>
    </row>
    <row r="12" spans="1:3">
      <c r="A12" s="56" t="s">
        <v>135</v>
      </c>
      <c r="B12" s="56" t="s">
        <v>136</v>
      </c>
      <c r="C12" s="57">
        <v>45962</v>
      </c>
    </row>
    <row r="13" spans="1:3">
      <c r="A13" s="56" t="s">
        <v>137</v>
      </c>
      <c r="B13" s="56" t="s">
        <v>138</v>
      </c>
      <c r="C13" s="57">
        <v>45901</v>
      </c>
    </row>
    <row r="14" spans="1:3">
      <c r="A14" s="56" t="s">
        <v>137</v>
      </c>
      <c r="B14" s="56" t="s">
        <v>139</v>
      </c>
      <c r="C14" s="57">
        <v>45931</v>
      </c>
    </row>
    <row r="15" spans="1:3">
      <c r="A15" s="56" t="s">
        <v>137</v>
      </c>
      <c r="B15" s="56" t="s">
        <v>140</v>
      </c>
      <c r="C15" s="57">
        <v>45992</v>
      </c>
    </row>
    <row r="16" spans="1:3">
      <c r="A16" s="56" t="s">
        <v>141</v>
      </c>
      <c r="B16" s="56" t="s">
        <v>142</v>
      </c>
      <c r="C16" s="57">
        <v>45931</v>
      </c>
    </row>
    <row r="17" spans="1:3">
      <c r="A17" s="56" t="s">
        <v>143</v>
      </c>
      <c r="B17" s="56" t="s">
        <v>144</v>
      </c>
      <c r="C17" s="57">
        <v>45962</v>
      </c>
    </row>
    <row r="18" spans="1:3">
      <c r="A18" s="58" t="s">
        <v>145</v>
      </c>
      <c r="B18" s="56" t="s">
        <v>146</v>
      </c>
      <c r="C18" s="57">
        <v>45992</v>
      </c>
    </row>
    <row r="19" spans="1:3">
      <c r="A19" s="58" t="s">
        <v>147</v>
      </c>
      <c r="B19" s="56" t="s">
        <v>148</v>
      </c>
      <c r="C19" s="57">
        <v>45962</v>
      </c>
    </row>
    <row r="20" spans="1:3">
      <c r="A20" s="59" t="s">
        <v>149</v>
      </c>
      <c r="B20" s="56" t="s">
        <v>150</v>
      </c>
      <c r="C20" s="57">
        <v>45931</v>
      </c>
    </row>
    <row r="21" spans="1:3">
      <c r="A21" s="60" t="s">
        <v>151</v>
      </c>
      <c r="B21" s="56" t="s">
        <v>152</v>
      </c>
      <c r="C21" s="57">
        <v>45901</v>
      </c>
    </row>
    <row r="22" spans="1:3">
      <c r="A22" s="59" t="s">
        <v>153</v>
      </c>
      <c r="B22" s="56" t="s">
        <v>154</v>
      </c>
      <c r="C22" s="57">
        <v>45901</v>
      </c>
    </row>
    <row r="23" spans="1:3">
      <c r="A23" s="60" t="s">
        <v>155</v>
      </c>
      <c r="B23" s="56" t="s">
        <v>156</v>
      </c>
      <c r="C23" s="57">
        <v>45931</v>
      </c>
    </row>
    <row r="24" spans="1:3">
      <c r="A24" s="59" t="s">
        <v>157</v>
      </c>
      <c r="B24" s="56" t="s">
        <v>158</v>
      </c>
      <c r="C24" s="57">
        <v>45901</v>
      </c>
    </row>
    <row r="25" spans="1:3">
      <c r="A25" s="60" t="s">
        <v>159</v>
      </c>
      <c r="B25" s="56" t="s">
        <v>160</v>
      </c>
      <c r="C25" s="57">
        <v>45931</v>
      </c>
    </row>
    <row r="26" spans="1:3">
      <c r="A26" s="60" t="s">
        <v>159</v>
      </c>
      <c r="B26" s="56" t="s">
        <v>160</v>
      </c>
      <c r="C26" s="57">
        <v>45962</v>
      </c>
    </row>
    <row r="27" spans="1:3">
      <c r="A27" s="60" t="s">
        <v>159</v>
      </c>
      <c r="B27" s="56" t="s">
        <v>160</v>
      </c>
      <c r="C27" s="57">
        <v>45992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3132a2-10bb-4e5b-ba3f-4e77523fab2e" xsi:nil="true"/>
    <lcf76f155ced4ddcb4097134ff3c332f xmlns="70715ebf-cadc-4857-befc-c321e7f836af">
      <Terms xmlns="http://schemas.microsoft.com/office/infopath/2007/PartnerControls"/>
    </lcf76f155ced4ddcb4097134ff3c332f>
    <_Flow_SignoffStatus xmlns="70715ebf-cadc-4857-befc-c321e7f836a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068C3BE2564A946A6B9B266B8B3D7B1" ma:contentTypeVersion="13" ma:contentTypeDescription="Crear nuevo documento." ma:contentTypeScope="" ma:versionID="25399a3be9f99282fa7a2b9310aab474">
  <xsd:schema xmlns:xsd="http://www.w3.org/2001/XMLSchema" xmlns:xs="http://www.w3.org/2001/XMLSchema" xmlns:p="http://schemas.microsoft.com/office/2006/metadata/properties" xmlns:ns2="70715ebf-cadc-4857-befc-c321e7f836af" xmlns:ns3="063132a2-10bb-4e5b-ba3f-4e77523fab2e" targetNamespace="http://schemas.microsoft.com/office/2006/metadata/properties" ma:root="true" ma:fieldsID="ca29ef842930cc07a5ce94a3949c88f6" ns2:_="" ns3:_="">
    <xsd:import namespace="70715ebf-cadc-4857-befc-c321e7f836af"/>
    <xsd:import namespace="063132a2-10bb-4e5b-ba3f-4e77523fab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_Flow_SignoffStatu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15ebf-cadc-4857-befc-c321e7f836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c7042b10-1559-49e4-8fbe-15edcc25fb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19" nillable="true" ma:displayName="Estado de aprobación" ma:internalName="_x0024_Resources_x003a_core_x002c_Signoff_Status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3132a2-10bb-4e5b-ba3f-4e77523fab2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60f60f8a-51ca-4a46-8ac6-29876e4e75ce}" ma:internalName="TaxCatchAll" ma:showField="CatchAllData" ma:web="063132a2-10bb-4e5b-ba3f-4e77523fab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384CB1-4325-4401-98E7-38D21454A02F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purl.org/dc/terms/"/>
    <ds:schemaRef ds:uri="063132a2-10bb-4e5b-ba3f-4e77523fab2e"/>
    <ds:schemaRef ds:uri="http://schemas.microsoft.com/office/infopath/2007/PartnerControls"/>
    <ds:schemaRef ds:uri="70715ebf-cadc-4857-befc-c321e7f836af"/>
  </ds:schemaRefs>
</ds:datastoreItem>
</file>

<file path=customXml/itemProps2.xml><?xml version="1.0" encoding="utf-8"?>
<ds:datastoreItem xmlns:ds="http://schemas.openxmlformats.org/officeDocument/2006/customXml" ds:itemID="{5D6DD800-A9C9-41C9-B7B3-CA149EC152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715ebf-cadc-4857-befc-c321e7f836af"/>
    <ds:schemaRef ds:uri="063132a2-10bb-4e5b-ba3f-4e77523fab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544690-A626-43CD-8134-4A6983E5033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be698cc-cb82-46d7-80da-928654e6af3b}" enabled="1" method="Privileged" siteId="{d50c10ce-7993-4bfb-bfd0-d4a41ccf036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Detalhe distribuição</vt:lpstr>
      <vt:lpstr>ID_Project</vt:lpstr>
      <vt:lpstr>Aderência ao Projeto</vt:lpstr>
      <vt:lpstr>Cronograma</vt:lpstr>
      <vt:lpstr>Curvas PSRs</vt:lpstr>
      <vt:lpstr>Finanças</vt:lpstr>
      <vt:lpstr>Marcos</vt:lpstr>
      <vt:lpstr>Ativ Desta semana</vt:lpstr>
      <vt:lpstr>Ativ. prox semana</vt:lpstr>
      <vt:lpstr>Prob. e Riscos Id</vt:lpstr>
      <vt:lpstr>REIQ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Aurelio Felicio da Silva</dc:creator>
  <cp:keywords/>
  <dc:description/>
  <cp:lastModifiedBy>Maurício de Oliveira Peixoto</cp:lastModifiedBy>
  <cp:revision/>
  <cp:lastPrinted>2025-12-19T12:21:25Z</cp:lastPrinted>
  <dcterms:created xsi:type="dcterms:W3CDTF">2025-04-28T13:43:04Z</dcterms:created>
  <dcterms:modified xsi:type="dcterms:W3CDTF">2026-04-24T17:14:43Z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0x010100D068C3BE2564A946A6B9B266B8B3D7B1</vt:lpwstr>
  </property>
  <property fmtid="{D5CDD505-2E9C-101B-9397-08002B2CF9AE}" pid="3" name="MediaServiceImageTags">
    <vt:lpwstr/>
  </property>
</Properties>
</file>