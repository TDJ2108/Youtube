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C10193\Downloads\"/>
    </mc:Choice>
  </mc:AlternateContent>
  <xr:revisionPtr revIDLastSave="0" documentId="13_ncr:1_{DCC3346A-F299-42DD-A807-5FB8CF5956C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talhe distribuição" sheetId="1" r:id="rId1"/>
    <sheet name="ID_Project" sheetId="2" r:id="rId2"/>
    <sheet name="Aderência ao Projeto" sheetId="3" r:id="rId3"/>
    <sheet name="Cronograma" sheetId="4" r:id="rId4"/>
    <sheet name="Curvas PSRs" sheetId="5" r:id="rId5"/>
    <sheet name="Finanças" sheetId="6" r:id="rId6"/>
    <sheet name="Marcos" sheetId="7" r:id="rId7"/>
    <sheet name="Ativ Desta semana" sheetId="8" r:id="rId8"/>
    <sheet name="Ativ. prox semana" sheetId="9" r:id="rId9"/>
    <sheet name="Prob. e Riscos Id" sheetId="10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7" l="1"/>
  <c r="L38" i="7"/>
  <c r="L37" i="7"/>
  <c r="L29" i="7"/>
  <c r="L28" i="7"/>
  <c r="L17" i="7"/>
  <c r="L16" i="7"/>
  <c r="L13" i="7"/>
  <c r="L12" i="7"/>
  <c r="L8" i="7"/>
  <c r="L7" i="7"/>
  <c r="L6" i="7"/>
  <c r="L5" i="7"/>
  <c r="L4" i="7"/>
  <c r="L3" i="7"/>
  <c r="L2" i="7"/>
  <c r="C11" i="10"/>
  <c r="C10" i="10"/>
  <c r="C9" i="10"/>
  <c r="C8" i="10"/>
</calcChain>
</file>

<file path=xl/sharedStrings.xml><?xml version="1.0" encoding="utf-8"?>
<sst xmlns="http://schemas.openxmlformats.org/spreadsheetml/2006/main" count="1314" uniqueCount="213">
  <si>
    <t>Título relatório</t>
  </si>
  <si>
    <t>Detalhes do Projeto</t>
  </si>
  <si>
    <t>Título do Projeto</t>
  </si>
  <si>
    <t>Data do Relatório</t>
  </si>
  <si>
    <t>Semana</t>
  </si>
  <si>
    <t>Unidade de Negócios</t>
  </si>
  <si>
    <t>Project ID</t>
  </si>
  <si>
    <t>Preparado Por</t>
  </si>
  <si>
    <t>Distribuição</t>
  </si>
  <si>
    <t>Projeto Siderurgia 4.0</t>
  </si>
  <si>
    <t>IND001</t>
  </si>
  <si>
    <t>Nome Projeto</t>
  </si>
  <si>
    <t>IND002</t>
  </si>
  <si>
    <t>Projeto Bioenergia Sustentável</t>
  </si>
  <si>
    <t>IND003</t>
  </si>
  <si>
    <t>Projeto Logística Integrada</t>
  </si>
  <si>
    <t>IND004</t>
  </si>
  <si>
    <t>Projeto Automação Refinaria</t>
  </si>
  <si>
    <t>IND005</t>
  </si>
  <si>
    <t>Projeto Eficiência Térmica</t>
  </si>
  <si>
    <t>Aderência ao Projeto</t>
  </si>
  <si>
    <t>Valor (%)</t>
  </si>
  <si>
    <t>Ordem</t>
  </si>
  <si>
    <t>Proporção</t>
  </si>
  <si>
    <t>Tradutor</t>
  </si>
  <si>
    <t>Segurança</t>
  </si>
  <si>
    <t>Quanto maior melhor</t>
  </si>
  <si>
    <t>PT-BR</t>
  </si>
  <si>
    <t>Custos</t>
  </si>
  <si>
    <t>Quanto menor melhor</t>
  </si>
  <si>
    <t>Prazo</t>
  </si>
  <si>
    <t>Risco</t>
  </si>
  <si>
    <t>Escopo</t>
  </si>
  <si>
    <t>Security</t>
  </si>
  <si>
    <t>The bigger the better</t>
  </si>
  <si>
    <t>EN</t>
  </si>
  <si>
    <t>Costs</t>
  </si>
  <si>
    <t>The smaller the better</t>
  </si>
  <si>
    <t>Deadline</t>
  </si>
  <si>
    <t>Risk</t>
  </si>
  <si>
    <t>Scope</t>
  </si>
  <si>
    <t>Cronograma</t>
  </si>
  <si>
    <t>Previsto (%)</t>
  </si>
  <si>
    <t>Realizado (%)</t>
  </si>
  <si>
    <t>AVANÇO GERAL</t>
  </si>
  <si>
    <t>AVANÇO Projeto Automação Refinaria</t>
  </si>
  <si>
    <t>Entrega sensores de fluxo - Projeto Automação Refinaria</t>
  </si>
  <si>
    <t>AVANÇO Projeto Bioenergia Sustentável</t>
  </si>
  <si>
    <t>Entrega do Sistema de Exaustão Industrial</t>
  </si>
  <si>
    <t>AVANÇO INT. Núcleo de Processamento</t>
  </si>
  <si>
    <t>Suprimentos Int. Núcleo de Processamento</t>
  </si>
  <si>
    <t>AVANÇO GERAL Sistema Térmico/Módulo de Controle</t>
  </si>
  <si>
    <t>AVANÇO GERAL E1-304</t>
  </si>
  <si>
    <t>Revisão do Projeto</t>
  </si>
  <si>
    <t>Suprimentos</t>
  </si>
  <si>
    <t>Projeto Detalhado (Incluso FEL3)</t>
  </si>
  <si>
    <t>GENERAL ADVANCEMENT</t>
  </si>
  <si>
    <t>Projeto Automação Refinaria ADVANCE</t>
  </si>
  <si>
    <t>Filter Delivery - Projeto Automação Refinaria</t>
  </si>
  <si>
    <t>Projeto Bioenergia Sustentável STEM</t>
  </si>
  <si>
    <t>Delivery of the Air Plenum</t>
  </si>
  <si>
    <t>REACTOR INT. ADVANCE</t>
  </si>
  <si>
    <t>Supplies Int. Reactor</t>
  </si>
  <si>
    <t>Sistema Térmico/TAILLIGHT STEM</t>
  </si>
  <si>
    <t>GENERAL ADVANCE E1-304</t>
  </si>
  <si>
    <t>Project Review</t>
  </si>
  <si>
    <t>Supplies</t>
  </si>
  <si>
    <t>Detailed Design (FEL3 Included)</t>
  </si>
  <si>
    <t>Projeto Projeto Bioenergia Sustentável</t>
  </si>
  <si>
    <t>Projeto Projeto Automação Refinaria</t>
  </si>
  <si>
    <t>Projeto Projeto Logística Integrada</t>
  </si>
  <si>
    <t>Projeto Projeto Eficiência Térmica</t>
  </si>
  <si>
    <t>Data</t>
  </si>
  <si>
    <t>TOTAL</t>
  </si>
  <si>
    <t>Previsto Mensal</t>
  </si>
  <si>
    <t>Previsto Acumulado</t>
  </si>
  <si>
    <t>Realizado Mensal</t>
  </si>
  <si>
    <t>Realizado Acumulado</t>
  </si>
  <si>
    <t>Finanças</t>
  </si>
  <si>
    <t>Finanças (in KDolar)</t>
  </si>
  <si>
    <t>Budget</t>
  </si>
  <si>
    <t>Empenhado</t>
  </si>
  <si>
    <t>Contabilizado</t>
  </si>
  <si>
    <t>Desembolsado</t>
  </si>
  <si>
    <t>A empenhar</t>
  </si>
  <si>
    <t>Custo Final Provável</t>
  </si>
  <si>
    <t>Benef.MDIC  Real Acum.</t>
  </si>
  <si>
    <t>Benef.MDIC Prev. Abr/26</t>
  </si>
  <si>
    <t>Benef.MDIC  Prev. Total</t>
  </si>
  <si>
    <t>Committed</t>
  </si>
  <si>
    <t>Accounted for</t>
  </si>
  <si>
    <t>Disbursed</t>
  </si>
  <si>
    <t>To commit</t>
  </si>
  <si>
    <t>Probable Final Cost</t>
  </si>
  <si>
    <t>Benef.MDIC Real Acum.</t>
  </si>
  <si>
    <t>Benef.MDIC Prev. Apr/26</t>
  </si>
  <si>
    <t>Benef.MDIC Prev. Total</t>
  </si>
  <si>
    <t>Marcos</t>
  </si>
  <si>
    <t>Comentário</t>
  </si>
  <si>
    <t>Coluna1</t>
  </si>
  <si>
    <t>Data Planejada</t>
  </si>
  <si>
    <t>Data Real</t>
  </si>
  <si>
    <t>Regra_Destac</t>
  </si>
  <si>
    <t>Steering Comitee</t>
  </si>
  <si>
    <t>Plan_Inicial</t>
  </si>
  <si>
    <t>Apontar atrasados(replan)</t>
  </si>
  <si>
    <t>Sim</t>
  </si>
  <si>
    <t>Principais Atividades Desta Semana</t>
  </si>
  <si>
    <t>Em andamento projeto detalhado Projeto Automação Refinaria- Engenharia de Processos</t>
  </si>
  <si>
    <t>Em andamento validação das FD's de instrumentos - Projeto Automação Refinaria</t>
  </si>
  <si>
    <t>Em andamento compra de materiais (cabos elétricos - SDCD - válvulas de controle - tubulações) - Projeto Automação Refinaria</t>
  </si>
  <si>
    <t>Em andamento revisões e emissões de PID's do projeto detalhado - Engenharia de Processos</t>
  </si>
  <si>
    <t>Recebimento de proposta para medidores de vazão magnéticos/ enviado por CONAUT</t>
  </si>
  <si>
    <t>Recebimento de proposta revisada para termômetro/ enviada por ENDRESS e WIKA</t>
  </si>
  <si>
    <t>Emissão de NF para materiais de SDCD - Yokogawa</t>
  </si>
  <si>
    <t>Em andamento negociação comercial para cabos de instrumentação</t>
  </si>
  <si>
    <t>Análise das OS's de serviços adicionais da Engenharia de Processos</t>
  </si>
  <si>
    <t>Aprovação da revisão do orçamento para montagem da RV/D1-401</t>
  </si>
  <si>
    <t>Em andamento contratação para embalagem da serpentina na Fornecedor Industrial B</t>
  </si>
  <si>
    <t>Em andamento análise da contratação para serviço de isolamento da casa de ar na Fornecedor Industrial B</t>
  </si>
  <si>
    <t>Riscos</t>
  </si>
  <si>
    <t>Possibilidade de multa por falha de atendimento à critérios legais do MDIC</t>
  </si>
  <si>
    <t>Modificações na data da parada do Unidade de Refino em Out/26 (Antecipação ou postergação)</t>
  </si>
  <si>
    <t>Atraso na entrega dos materiais para Manutenção e Operações para o Projeto Automação Refinaria</t>
  </si>
  <si>
    <t>Atraso na entrega de materiais e equipamentos importados devido a conflitos e incertezas globais</t>
  </si>
  <si>
    <t>Condições climáticas desfavoráveis</t>
  </si>
  <si>
    <t>Possibility of a fine for failure to meet the legal criteria of the MDIC</t>
  </si>
  <si>
    <t>Portfólio</t>
  </si>
  <si>
    <t xml:space="preserve">Em andamento projeto para fabricação dos sensores de fluxo </t>
  </si>
  <si>
    <t>Em andamento fabricação do Sistema de Exaustão Industrial -  / Fornecedor Industrial B</t>
  </si>
  <si>
    <t>Em andamento a fabricação da casa de ar - /Fornecedor Industrial B</t>
  </si>
  <si>
    <t>Ongoing manufacture of the Plenum of Air -  / Fornecedor Industrial B</t>
  </si>
  <si>
    <t xml:space="preserve">Em andamento fabricação do trocador de calor MX1212 - </t>
  </si>
  <si>
    <t>Emissão de PO para locação da linha de eixo para movimentação do Trocador de Calor MX1212</t>
  </si>
  <si>
    <t>Em andamento sondagem do piso do local de patolamento do guindaste para montagem do MX1212</t>
  </si>
  <si>
    <t>Em andamento passagem de cabos para a bomba MT605</t>
  </si>
  <si>
    <t>Em andamento orçamento para serviços estrutura metálica para apoio da nova casa de ar  - Ivanasolutions</t>
  </si>
  <si>
    <t>Recebimento de orçamento para serviços de base civil para nova casa de ar - Ivanasolutions</t>
  </si>
  <si>
    <t>Aprovação do orçamento para montagem do telhado para instalação da nova casa de ar - Ivanasolutions</t>
  </si>
  <si>
    <t>Emissão de PO para contratação da fabricação da estrutura metálica pela galvarte - SISTEMA INDUSTRIAL II e Projeto Automação Refinaria</t>
  </si>
  <si>
    <t>Emissão de PO para contratação da fabricação da estrutura metálica pela galvarte</t>
  </si>
  <si>
    <t>Em andamento a fabricação de materiais para os Projeto Logística Integrada - galvarte</t>
  </si>
  <si>
    <t>Em andamento separação de materiais de titânio para envio a galvarte</t>
  </si>
  <si>
    <t>Recebimento de proposta para válvula reguladora de pressão/ enviado por AZ ITRS e AXPR</t>
  </si>
  <si>
    <t>Recebimento de proposta para valvula de controle/ enviado por AZ ITRS e AXPR </t>
  </si>
  <si>
    <t xml:space="preserve">Em andamento elaboração de propostas para montagem mecânica Projeto Automação Refinaria - Ivanasolutions e </t>
  </si>
  <si>
    <t xml:space="preserve">Em andamento elaboração de propostas para montagem mecânica - Ivanasolutions e </t>
  </si>
  <si>
    <t>Em andamento fabricação das pás do Núcleo de Processamento  Sistema Térmico Fornecedor Industrial C</t>
  </si>
  <si>
    <t>Atividade</t>
  </si>
  <si>
    <t>Diagnóstico de maturidade industrial</t>
  </si>
  <si>
    <t>Definição de arquitetura tecnológica</t>
  </si>
  <si>
    <t>Integração de sistemas produtivos</t>
  </si>
  <si>
    <t>Implantação de automação avançada</t>
  </si>
  <si>
    <t>Monitoramento de indicadores operacionais</t>
  </si>
  <si>
    <t>Otimização de processos industriais</t>
  </si>
  <si>
    <t>Testes de performance e validação</t>
  </si>
  <si>
    <t>Treinamento operacional</t>
  </si>
  <si>
    <t>Go-live assistido</t>
  </si>
  <si>
    <t>Estabilização da operação</t>
  </si>
  <si>
    <t>Levantamento de requisitos técnicos</t>
  </si>
  <si>
    <t>Mapeamento de processos</t>
  </si>
  <si>
    <t>Especificação de sistemas de controle</t>
  </si>
  <si>
    <t>Integração com sistemas existentes</t>
  </si>
  <si>
    <t>Configuração de lógica de automação</t>
  </si>
  <si>
    <t>Testes de integração</t>
  </si>
  <si>
    <t>Comissionamento de sistemas</t>
  </si>
  <si>
    <t>Treinamento técnico</t>
  </si>
  <si>
    <t>Operação assistida</t>
  </si>
  <si>
    <t>Diagnóstico da cadeia logística</t>
  </si>
  <si>
    <t>Análise de viabilidade técnica</t>
  </si>
  <si>
    <t>Definição de modelo operacional</t>
  </si>
  <si>
    <t>Licenciamento e conformidade</t>
  </si>
  <si>
    <t>Implantação de unidade produtiva</t>
  </si>
  <si>
    <t>Integração com utilidades</t>
  </si>
  <si>
    <t>Testes operacionais</t>
  </si>
  <si>
    <t>Ajustes de performance</t>
  </si>
  <si>
    <t>Treinamento de equipe</t>
  </si>
  <si>
    <t>Entrada em operação</t>
  </si>
  <si>
    <t xml:space="preserve">Desmontagem de andaimes para linha de injeção de Água Desmineralizada </t>
  </si>
  <si>
    <t>Em andamento orçamento para fabricação de estrutura metálica</t>
  </si>
  <si>
    <t>Início dos estudos de viabilidade</t>
  </si>
  <si>
    <t>Aprovação institucional do projeto</t>
  </si>
  <si>
    <t>Aprovação de investimento</t>
  </si>
  <si>
    <t>Aprovação de engenharia de fabricação</t>
  </si>
  <si>
    <t>Aprovação de sistemas de instrumentação</t>
  </si>
  <si>
    <t>Conclusão do projeto detalhado</t>
  </si>
  <si>
    <t>Recebimento de sistemas industriais</t>
  </si>
  <si>
    <t>Recebimento de equipamentos térmicos</t>
  </si>
  <si>
    <t>Recebimento de equipamentos de processo</t>
  </si>
  <si>
    <t>Recebimento de componentes mecânicos</t>
  </si>
  <si>
    <t>Recebimento de instrumentação</t>
  </si>
  <si>
    <t>Início das atividades eletromecânicas</t>
  </si>
  <si>
    <t>Início da parada operacional</t>
  </si>
  <si>
    <t>Comissionamento e partida</t>
  </si>
  <si>
    <t>Emissão do termo de abertura</t>
  </si>
  <si>
    <t>Elaboração do projeto básico</t>
  </si>
  <si>
    <t>Conclusão da fase de engenharia (FEL 3)</t>
  </si>
  <si>
    <t>Contratação de serviços operacionais</t>
  </si>
  <si>
    <t>Início da construção e montagem</t>
  </si>
  <si>
    <t>Recebimento de equipamentos especiais</t>
  </si>
  <si>
    <t>Recebimento de trocadores térmicos</t>
  </si>
  <si>
    <t>Revisão de engenharia para implantação</t>
  </si>
  <si>
    <t>Início da montagem de sistemas de utilidades</t>
  </si>
  <si>
    <t>Fabricação e entrega de equipamentos</t>
  </si>
  <si>
    <t>Parada programada para implantação</t>
  </si>
  <si>
    <t>Revisão do projeto para implantação</t>
  </si>
  <si>
    <t>Aquisição de equipamentos e sistemas</t>
  </si>
  <si>
    <t>Fabricação e entrega de ativos</t>
  </si>
  <si>
    <t>Parada programada para instalação</t>
  </si>
  <si>
    <t>Aprovação institucional e de investimento</t>
  </si>
  <si>
    <t>Aquisição de sistemas térmicos</t>
  </si>
  <si>
    <t>Aquisição de materiais e serviços</t>
  </si>
  <si>
    <t>Recebimento de componentes críticos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</si>
</sst>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9" fontId="1" fillId="0" borderId="0" applyFont="0" applyFill="0" applyBorder="0" applyAlignment="0" applyProtection="0"/>
  </cellStyleXfs>
  <cellXfs count="5">
    <xf numFmtId="0" fontId="0" fillId="0" borderId="1" xfId="0"/>
    <xf numFmtId="0" fontId="0" fillId="0" borderId="1" xfId="0" applyAlignment="1">
      <alignment horizontal="center" vertical="center"/>
    </xf>
    <xf numFmtId="164" fontId="0" fillId="0" borderId="1" xfId="0" applyNumberFormat="1"/>
    <xf numFmtId="9" fontId="0" fillId="0" borderId="1" xfId="1" applyFont="1" applyBorder="1"/>
    <xf numFmtId="14" fontId="0" fillId="0" borderId="1" xfId="0" applyNumberFormat="1"/>
  </cellXfs>
  <cellStyles count="2">
    <cellStyle name="Normal" xfId="0" builtinId="0"/>
    <cellStyle name="Porcentagem" xfId="1" builtinId="5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C10193\Downloads\Simulador%20de%20Report.xlsx" TargetMode="External"/><Relationship Id="rId1" Type="http://schemas.openxmlformats.org/officeDocument/2006/relationships/externalLinkPath" Target="Simulador%20d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he distribuição"/>
      <sheetName val="ID_Project"/>
      <sheetName val="Aderência ao Projeto"/>
      <sheetName val="Cronograma"/>
      <sheetName val="Curvas PSRs"/>
      <sheetName val="Finanças"/>
      <sheetName val="Marcos"/>
      <sheetName val="Ativ Desta semana"/>
      <sheetName val="Ativ. prox semana"/>
      <sheetName val="Prob. e Riscos Id"/>
      <sheetName val="REI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8AE6A-E3D9-47B1-AA5F-34A71B88A9F1}" name="Tabela1" displayName="Tabela1" ref="A1:B6" totalsRowShown="0">
  <autoFilter ref="A1:B6" xr:uid="{2508AE6A-E3D9-47B1-AA5F-34A71B88A9F1}"/>
  <tableColumns count="2">
    <tableColumn id="1" xr3:uid="{7008161D-9517-4DA4-A045-5C698A85F87C}" name="Project ID"/>
    <tableColumn id="2" xr3:uid="{4D1690E1-70AA-48B4-A17C-A588D481EE6F}" name="Nome Proje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6165D8-0AA0-4F2A-8B44-7718F95CC181}" name="Tabela2" displayName="Tabela2" ref="A1:G52" totalsRowShown="0">
  <autoFilter ref="A1:G52" xr:uid="{696165D8-0AA0-4F2A-8B44-7718F95CC181}"/>
  <tableColumns count="7">
    <tableColumn id="1" xr3:uid="{37010CC8-17D4-42BF-9403-880C3159EEF9}" name="Project ID"/>
    <tableColumn id="2" xr3:uid="{B3DBF0FD-C652-4983-884F-8274EB7B3966}" name="Nome Projeto"/>
    <tableColumn id="3" xr3:uid="{8D478FF2-D4A1-4EEA-B65A-0282CFA55C3F}" name="Aderência ao Projeto"/>
    <tableColumn id="4" xr3:uid="{F37CB1A6-E546-4262-B796-54ECD34ACCF9}" name="Valor (%)"/>
    <tableColumn id="5" xr3:uid="{8AF17B3A-DFBC-49E6-978F-8FD3C968BE89}" name="Ordem"/>
    <tableColumn id="6" xr3:uid="{2601EAF6-BF10-4932-839B-219C39548FE8}" name="Proporção"/>
    <tableColumn id="7" xr3:uid="{4934EDA5-631A-471F-803C-8FC158A802EA}" name="Tradu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19C360-03BB-4373-AFA1-6CA3CE871B68}" name="Tabela3" displayName="Tabela3" ref="A1:G43" totalsRowShown="0">
  <autoFilter ref="A1:G43" xr:uid="{3F19C360-03BB-4373-AFA1-6CA3CE871B68}"/>
  <tableColumns count="7">
    <tableColumn id="1" xr3:uid="{920E0417-6ECF-43F0-8415-F71A8993F52B}" name="Project ID"/>
    <tableColumn id="2" xr3:uid="{C47016D2-7B27-42FF-850D-6409950A01F4}" name="Nome Projeto"/>
    <tableColumn id="3" xr3:uid="{1E4C1414-EF78-48CF-A823-D956E19ED64F}" name="Cronograma"/>
    <tableColumn id="4" xr3:uid="{3D5C0C60-103A-4664-A476-F9D1C6E377EF}" name="Previsto (%)"/>
    <tableColumn id="5" xr3:uid="{916C37F8-E1E4-49A8-83BA-0094846FA62A}" name="Realizado (%)"/>
    <tableColumn id="6" xr3:uid="{3A977C2C-F100-454F-9ADB-6B3DB44EB3F9}" name="Ordem"/>
    <tableColumn id="7" xr3:uid="{81E48D74-C035-4BB8-9982-86C373F7BAE3}" name="Tradu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105877-0600-45CF-AA76-66400CA4CF7E}" name="Tabela7" displayName="Tabela7" ref="A1:F68" totalsRowShown="0">
  <autoFilter ref="A1:F68" xr:uid="{97105877-0600-45CF-AA76-66400CA4CF7E}"/>
  <tableColumns count="6">
    <tableColumn id="1" xr3:uid="{5037A371-B25A-4312-9C0F-5A33C93C2E5D}" name="Project ID"/>
    <tableColumn id="2" xr3:uid="{30655EF5-F3D2-4593-B02C-9397856A7CFA}" name="Nome Projeto"/>
    <tableColumn id="3" xr3:uid="{FD16BB35-71B7-41F5-8794-DE159C43CAE4}" name="Finanças"/>
    <tableColumn id="4" xr3:uid="{01681360-4606-4A70-A6D5-D24CD5CA32C3}" name="Finanças (in KDolar)"/>
    <tableColumn id="5" xr3:uid="{8EF4C9CF-2DD7-4C5B-BE5B-8DBACDDE07AF}" name="Ordem"/>
    <tableColumn id="6" xr3:uid="{26D6F6DE-D4A8-4E29-8C8C-928BF29580A1}" name="Tradu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9004E8-5C94-4885-9C4E-B16A50D15606}" name="Tabela4" displayName="Tabela4" ref="A1:M47" totalsRowShown="0">
  <autoFilter ref="A1:M47" xr:uid="{B59004E8-5C94-4885-9C4E-B16A50D15606}"/>
  <tableColumns count="13">
    <tableColumn id="1" xr3:uid="{B8F10557-65FE-419B-981E-B5DBFA31534B}" name="Project ID"/>
    <tableColumn id="2" xr3:uid="{0371681B-6A67-4782-9849-377CB890FFEF}" name="Nome Projeto"/>
    <tableColumn id="3" xr3:uid="{38799A37-C356-4337-98DC-AD39B2F52144}" name="Marcos"/>
    <tableColumn id="4" xr3:uid="{9C8AB145-F1C6-4347-8B10-995A8620803B}" name="Comentário"/>
    <tableColumn id="5" xr3:uid="{BA57F63B-1D32-45EC-8D12-04296BC160DD}" name="Coluna1"/>
    <tableColumn id="6" xr3:uid="{8605B929-F9F6-4C58-9AB5-0AF48A000BEA}" name="Data Planejada" dataDxfId="2"/>
    <tableColumn id="7" xr3:uid="{1E0A825C-C84B-49F1-AC9A-9A6B5A382EE6}" name="Data Real" dataDxfId="1"/>
    <tableColumn id="8" xr3:uid="{FFD8B067-B0CB-464F-8D51-63B09058E43B}" name="Regra_Destac"/>
    <tableColumn id="9" xr3:uid="{562D76D0-EDE4-4E1D-91B2-E3600C6E3560}" name="Ordem"/>
    <tableColumn id="10" xr3:uid="{8D6D79D1-FB17-4A18-BE75-900AB9E5A225}" name="Steering Comitee"/>
    <tableColumn id="11" xr3:uid="{F4CA6CE5-88E4-4379-A800-7E8BABAD29EC}" name="Plan_Inicial" dataDxfId="0"/>
    <tableColumn id="12" xr3:uid="{082E6697-2ACD-42A4-8329-7B2F486BE4F0}" name="Apontar atrasados(replan)"/>
    <tableColumn id="13" xr3:uid="{CFD22962-3F4D-4E15-B62E-4CB279324F6F}" name="Tradu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16D32-07E5-4619-9BAC-C5DFB9A844CE}" name="Tabela6" displayName="Tabela6" ref="A1:E37" totalsRowShown="0">
  <autoFilter ref="A1:E37" xr:uid="{E4E16D32-07E5-4619-9BAC-C5DFB9A844CE}"/>
  <tableColumns count="5">
    <tableColumn id="1" xr3:uid="{748E06F1-7253-4EA5-BBE6-6D75C80D4163}" name="Project ID"/>
    <tableColumn id="2" xr3:uid="{0195F7EB-A458-40D2-B4BE-1F3F17949F51}" name="Nome Projeto"/>
    <tableColumn id="3" xr3:uid="{49B6642C-879F-4A2E-BFE8-F436FC008843}" name="Principais Atividades Desta Semana"/>
    <tableColumn id="4" xr3:uid="{3518AC97-9F12-477D-9717-E5B66BD1AD3F}" name="Ordem"/>
    <tableColumn id="5" xr3:uid="{3A161550-3410-456D-95DF-6F8D4D0508E3}" name="Tradu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83352B-393E-427A-B8EE-13A1A76256B8}" name="Tabela5" displayName="Tabela5" ref="A1:E30" totalsRowShown="0">
  <autoFilter ref="A1:E30" xr:uid="{0883352B-393E-427A-B8EE-13A1A76256B8}"/>
  <tableColumns count="5">
    <tableColumn id="1" xr3:uid="{FA7C292A-25E8-4B08-9CE3-926DF148BAFA}" name="Project ID"/>
    <tableColumn id="2" xr3:uid="{C8A4878E-ADCE-47FE-8938-303948CA8584}" name="Nome Projeto"/>
    <tableColumn id="3" xr3:uid="{ECF7B47D-F2A5-40BF-B5EB-5295632A05D6}" name="Atividade"/>
    <tableColumn id="4" xr3:uid="{F1DE4641-EB5A-4161-B031-7ED082382141}" name="Ordem"/>
    <tableColumn id="5" xr3:uid="{9DA99ADA-ADA6-4CFC-B08D-89D0134DC360}" name="Tradu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0CD2F6-9F08-4555-8C73-8C13E0A03C6A}" name="Tabela8" displayName="Tabela8" ref="A1:E11" totalsRowShown="0">
  <autoFilter ref="A1:E11" xr:uid="{520CD2F6-9F08-4555-8C73-8C13E0A03C6A}"/>
  <tableColumns count="5">
    <tableColumn id="1" xr3:uid="{88C5CFD3-EFCE-472D-BFB5-8A23FA7D490E}" name="Project ID"/>
    <tableColumn id="2" xr3:uid="{40DB0DBF-637C-4A02-86C2-86F9AF780A83}" name="Nome Projeto"/>
    <tableColumn id="3" xr3:uid="{5DA16FEC-F1C8-4D0A-A740-C81118695FA7}" name="Riscos"/>
    <tableColumn id="4" xr3:uid="{5605FED9-EAA8-4C61-B63A-B0E6E8DE0E3B}" name="Steering Comitee"/>
    <tableColumn id="5" xr3:uid="{2DA97BC7-169D-422E-9216-A415DE9D7621}" name="Tradu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1B06-8218-88F5-A788-4F902111344C}">
  <dimension ref="A1:AX3"/>
  <sheetViews>
    <sheetView workbookViewId="0">
      <pane ySplit="1" topLeftCell="A2" activePane="bottomLeft" state="frozen"/>
      <selection pane="bottomLeft" activeCell="A3" sqref="A3:I3"/>
    </sheetView>
  </sheetViews>
  <sheetFormatPr defaultColWidth="9.109375" defaultRowHeight="21.75" customHeight="1" x14ac:dyDescent="0.3"/>
  <cols>
    <col min="1" max="1" width="25.33203125" customWidth="1"/>
    <col min="2" max="2" width="17.33203125" customWidth="1"/>
    <col min="3" max="3" width="18.88671875" customWidth="1"/>
    <col min="4" max="4" width="18.33203125" customWidth="1"/>
    <col min="5" max="5" width="7.33203125" customWidth="1"/>
    <col min="6" max="6" width="18.5546875" customWidth="1"/>
    <col min="7" max="7" width="8.88671875" customWidth="1"/>
    <col min="8" max="8" width="12.6640625" customWidth="1"/>
    <col min="9" max="9" width="48.5546875" customWidth="1"/>
  </cols>
  <sheetData>
    <row r="1" spans="1:50" ht="21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50" ht="21.75" customHeight="1" x14ac:dyDescent="0.3">
      <c r="D3" s="2"/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0C31-8A08-CF68-91D8-47A27AF99DEC}">
  <dimension ref="A1:B6"/>
  <sheetViews>
    <sheetView workbookViewId="0">
      <pane ySplit="1" topLeftCell="A2" activePane="bottomLeft" state="frozen"/>
      <selection pane="bottomLeft" sqref="A1:B6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</cols>
  <sheetData>
    <row r="1" spans="1:2" ht="21.75" customHeight="1" x14ac:dyDescent="0.3">
      <c r="A1" t="s">
        <v>6</v>
      </c>
      <c r="B1" t="s">
        <v>11</v>
      </c>
    </row>
    <row r="2" spans="1:2" ht="21.75" customHeight="1" x14ac:dyDescent="0.3">
      <c r="A2" t="s">
        <v>10</v>
      </c>
      <c r="B2" t="s">
        <v>9</v>
      </c>
    </row>
    <row r="3" spans="1:2" ht="21.75" customHeight="1" x14ac:dyDescent="0.3">
      <c r="A3" t="s">
        <v>12</v>
      </c>
      <c r="B3" t="s">
        <v>13</v>
      </c>
    </row>
    <row r="4" spans="1:2" ht="21.75" customHeight="1" x14ac:dyDescent="0.3">
      <c r="A4" t="s">
        <v>14</v>
      </c>
      <c r="B4" t="s">
        <v>15</v>
      </c>
    </row>
    <row r="5" spans="1:2" ht="21.75" customHeight="1" x14ac:dyDescent="0.3">
      <c r="A5" t="s">
        <v>16</v>
      </c>
      <c r="B5" t="s">
        <v>17</v>
      </c>
    </row>
    <row r="6" spans="1:2" ht="21.75" customHeight="1" x14ac:dyDescent="0.3">
      <c r="A6" t="s">
        <v>18</v>
      </c>
      <c r="B6" t="s">
        <v>19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CA08-61E8-92AC-D793-A10A0792342A}">
  <dimension ref="A1:G52"/>
  <sheetViews>
    <sheetView workbookViewId="0">
      <pane ySplit="1" topLeftCell="A38" activePane="bottomLeft" state="frozen"/>
      <selection pane="bottomLeft" sqref="A1:G52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  <col min="3" max="3" width="20" customWidth="1"/>
    <col min="4" max="4" width="10.21875" customWidth="1"/>
    <col min="5" max="5" width="8.44140625" customWidth="1"/>
    <col min="6" max="6" width="19.5546875" customWidth="1"/>
    <col min="7" max="7" width="10" customWidth="1"/>
  </cols>
  <sheetData>
    <row r="1" spans="1:7" ht="21.75" customHeight="1" x14ac:dyDescent="0.3">
      <c r="A1" t="s">
        <v>6</v>
      </c>
      <c r="B1" t="s">
        <v>11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21.75" customHeight="1" x14ac:dyDescent="0.3">
      <c r="A2" t="s">
        <v>10</v>
      </c>
      <c r="B2" t="s">
        <v>9</v>
      </c>
      <c r="C2" t="s">
        <v>25</v>
      </c>
      <c r="D2" s="3">
        <v>0.85</v>
      </c>
      <c r="E2">
        <v>1</v>
      </c>
      <c r="F2" t="s">
        <v>26</v>
      </c>
      <c r="G2" t="s">
        <v>27</v>
      </c>
    </row>
    <row r="3" spans="1:7" ht="21.75" customHeight="1" x14ac:dyDescent="0.3">
      <c r="A3" t="s">
        <v>10</v>
      </c>
      <c r="B3" t="s">
        <v>9</v>
      </c>
      <c r="C3" t="s">
        <v>28</v>
      </c>
      <c r="D3" s="3">
        <v>0.78</v>
      </c>
      <c r="E3">
        <v>2</v>
      </c>
      <c r="F3" t="s">
        <v>29</v>
      </c>
      <c r="G3" t="s">
        <v>27</v>
      </c>
    </row>
    <row r="4" spans="1:7" ht="21.75" customHeight="1" x14ac:dyDescent="0.3">
      <c r="A4" t="s">
        <v>10</v>
      </c>
      <c r="B4" t="s">
        <v>9</v>
      </c>
      <c r="C4" t="s">
        <v>30</v>
      </c>
      <c r="D4" s="3">
        <v>0.72</v>
      </c>
      <c r="E4">
        <v>3</v>
      </c>
      <c r="F4" t="s">
        <v>26</v>
      </c>
      <c r="G4" t="s">
        <v>27</v>
      </c>
    </row>
    <row r="5" spans="1:7" ht="21.75" customHeight="1" x14ac:dyDescent="0.3">
      <c r="A5" t="s">
        <v>10</v>
      </c>
      <c r="B5" t="s">
        <v>9</v>
      </c>
      <c r="C5" t="s">
        <v>31</v>
      </c>
      <c r="D5" s="3">
        <v>0.93</v>
      </c>
      <c r="E5">
        <v>4</v>
      </c>
      <c r="F5" t="s">
        <v>29</v>
      </c>
      <c r="G5" t="s">
        <v>27</v>
      </c>
    </row>
    <row r="6" spans="1:7" ht="21.75" customHeight="1" x14ac:dyDescent="0.3">
      <c r="A6" t="s">
        <v>10</v>
      </c>
      <c r="B6" t="s">
        <v>9</v>
      </c>
      <c r="C6" t="s">
        <v>32</v>
      </c>
      <c r="D6" s="3">
        <v>0.91</v>
      </c>
      <c r="E6">
        <v>5</v>
      </c>
      <c r="F6" t="s">
        <v>26</v>
      </c>
      <c r="G6" t="s">
        <v>27</v>
      </c>
    </row>
    <row r="7" spans="1:7" ht="21.75" customHeight="1" x14ac:dyDescent="0.3">
      <c r="A7" t="s">
        <v>12</v>
      </c>
      <c r="B7" t="s">
        <v>13</v>
      </c>
      <c r="C7" t="s">
        <v>25</v>
      </c>
      <c r="D7" s="3">
        <v>0.73</v>
      </c>
      <c r="E7">
        <v>6</v>
      </c>
      <c r="F7" t="s">
        <v>26</v>
      </c>
      <c r="G7" t="s">
        <v>27</v>
      </c>
    </row>
    <row r="8" spans="1:7" ht="21.75" customHeight="1" x14ac:dyDescent="0.3">
      <c r="A8" t="s">
        <v>12</v>
      </c>
      <c r="B8" t="s">
        <v>13</v>
      </c>
      <c r="C8" t="s">
        <v>28</v>
      </c>
      <c r="D8" s="3">
        <v>0.92</v>
      </c>
      <c r="E8">
        <v>7</v>
      </c>
      <c r="F8" t="s">
        <v>29</v>
      </c>
      <c r="G8" t="s">
        <v>27</v>
      </c>
    </row>
    <row r="9" spans="1:7" ht="21.75" customHeight="1" x14ac:dyDescent="0.3">
      <c r="A9" t="s">
        <v>12</v>
      </c>
      <c r="B9" t="s">
        <v>13</v>
      </c>
      <c r="C9" t="s">
        <v>30</v>
      </c>
      <c r="D9" s="3">
        <v>0.95</v>
      </c>
      <c r="E9">
        <v>8</v>
      </c>
      <c r="F9" t="s">
        <v>26</v>
      </c>
      <c r="G9" t="s">
        <v>27</v>
      </c>
    </row>
    <row r="10" spans="1:7" ht="21.75" customHeight="1" x14ac:dyDescent="0.3">
      <c r="A10" t="s">
        <v>12</v>
      </c>
      <c r="B10" t="s">
        <v>13</v>
      </c>
      <c r="C10" t="s">
        <v>31</v>
      </c>
      <c r="D10" s="3">
        <v>0.88</v>
      </c>
      <c r="E10">
        <v>9</v>
      </c>
      <c r="F10" t="s">
        <v>29</v>
      </c>
      <c r="G10" t="s">
        <v>27</v>
      </c>
    </row>
    <row r="11" spans="1:7" ht="21.75" customHeight="1" x14ac:dyDescent="0.3">
      <c r="A11" t="s">
        <v>12</v>
      </c>
      <c r="B11" t="s">
        <v>13</v>
      </c>
      <c r="C11" t="s">
        <v>32</v>
      </c>
      <c r="D11" s="3">
        <v>0.9</v>
      </c>
      <c r="E11">
        <v>10</v>
      </c>
      <c r="F11" t="s">
        <v>26</v>
      </c>
      <c r="G11" t="s">
        <v>27</v>
      </c>
    </row>
    <row r="12" spans="1:7" ht="21.75" customHeight="1" x14ac:dyDescent="0.3">
      <c r="A12" t="s">
        <v>14</v>
      </c>
      <c r="B12" t="s">
        <v>15</v>
      </c>
      <c r="C12" t="s">
        <v>25</v>
      </c>
      <c r="D12" s="3">
        <v>0.77</v>
      </c>
      <c r="E12">
        <v>11</v>
      </c>
      <c r="F12" t="s">
        <v>26</v>
      </c>
      <c r="G12" t="s">
        <v>27</v>
      </c>
    </row>
    <row r="13" spans="1:7" ht="21.75" customHeight="1" x14ac:dyDescent="0.3">
      <c r="A13" t="s">
        <v>14</v>
      </c>
      <c r="B13" t="s">
        <v>15</v>
      </c>
      <c r="C13" t="s">
        <v>28</v>
      </c>
      <c r="D13" s="3">
        <v>0.68</v>
      </c>
      <c r="E13">
        <v>12</v>
      </c>
      <c r="F13" t="s">
        <v>29</v>
      </c>
      <c r="G13" t="s">
        <v>27</v>
      </c>
    </row>
    <row r="14" spans="1:7" ht="21.75" customHeight="1" x14ac:dyDescent="0.3">
      <c r="A14" t="s">
        <v>14</v>
      </c>
      <c r="B14" t="s">
        <v>15</v>
      </c>
      <c r="C14" t="s">
        <v>30</v>
      </c>
      <c r="D14" s="3">
        <v>0.87</v>
      </c>
      <c r="E14">
        <v>13</v>
      </c>
      <c r="F14" t="s">
        <v>26</v>
      </c>
      <c r="G14" t="s">
        <v>27</v>
      </c>
    </row>
    <row r="15" spans="1:7" ht="21.75" customHeight="1" x14ac:dyDescent="0.3">
      <c r="A15" t="s">
        <v>14</v>
      </c>
      <c r="B15" t="s">
        <v>15</v>
      </c>
      <c r="C15" t="s">
        <v>31</v>
      </c>
      <c r="D15" s="3">
        <v>0.74</v>
      </c>
      <c r="E15">
        <v>14</v>
      </c>
      <c r="F15" t="s">
        <v>29</v>
      </c>
      <c r="G15" t="s">
        <v>27</v>
      </c>
    </row>
    <row r="16" spans="1:7" ht="21.75" customHeight="1" x14ac:dyDescent="0.3">
      <c r="A16" t="s">
        <v>14</v>
      </c>
      <c r="B16" t="s">
        <v>15</v>
      </c>
      <c r="C16" t="s">
        <v>32</v>
      </c>
      <c r="D16" s="3">
        <v>0.76</v>
      </c>
      <c r="E16">
        <v>15</v>
      </c>
      <c r="F16" t="s">
        <v>26</v>
      </c>
      <c r="G16" t="s">
        <v>27</v>
      </c>
    </row>
    <row r="17" spans="1:7" ht="21.75" customHeight="1" x14ac:dyDescent="0.3">
      <c r="A17" t="s">
        <v>16</v>
      </c>
      <c r="B17" t="s">
        <v>17</v>
      </c>
      <c r="C17" t="s">
        <v>25</v>
      </c>
      <c r="D17" s="3">
        <v>0.99</v>
      </c>
      <c r="E17">
        <v>16</v>
      </c>
      <c r="F17" t="s">
        <v>26</v>
      </c>
      <c r="G17" t="s">
        <v>27</v>
      </c>
    </row>
    <row r="18" spans="1:7" ht="21.75" customHeight="1" x14ac:dyDescent="0.3">
      <c r="A18" t="s">
        <v>16</v>
      </c>
      <c r="B18" t="s">
        <v>17</v>
      </c>
      <c r="C18" t="s">
        <v>28</v>
      </c>
      <c r="D18" s="3">
        <v>0.74</v>
      </c>
      <c r="E18">
        <v>17</v>
      </c>
      <c r="F18" t="s">
        <v>29</v>
      </c>
      <c r="G18" t="s">
        <v>27</v>
      </c>
    </row>
    <row r="19" spans="1:7" ht="21.75" customHeight="1" x14ac:dyDescent="0.3">
      <c r="A19" t="s">
        <v>16</v>
      </c>
      <c r="B19" t="s">
        <v>17</v>
      </c>
      <c r="C19" t="s">
        <v>30</v>
      </c>
      <c r="D19" s="3">
        <v>0.76</v>
      </c>
      <c r="E19">
        <v>18</v>
      </c>
      <c r="F19" t="s">
        <v>26</v>
      </c>
      <c r="G19" t="s">
        <v>27</v>
      </c>
    </row>
    <row r="20" spans="1:7" ht="21.75" customHeight="1" x14ac:dyDescent="0.3">
      <c r="A20" t="s">
        <v>16</v>
      </c>
      <c r="B20" t="s">
        <v>17</v>
      </c>
      <c r="C20" t="s">
        <v>31</v>
      </c>
      <c r="D20" s="3">
        <v>0.74</v>
      </c>
      <c r="E20">
        <v>19</v>
      </c>
      <c r="F20" t="s">
        <v>29</v>
      </c>
      <c r="G20" t="s">
        <v>27</v>
      </c>
    </row>
    <row r="21" spans="1:7" ht="21.75" customHeight="1" x14ac:dyDescent="0.3">
      <c r="A21" t="s">
        <v>16</v>
      </c>
      <c r="B21" t="s">
        <v>17</v>
      </c>
      <c r="C21" t="s">
        <v>32</v>
      </c>
      <c r="D21" s="3">
        <v>0.7</v>
      </c>
      <c r="E21">
        <v>20</v>
      </c>
      <c r="F21" t="s">
        <v>26</v>
      </c>
      <c r="G21" t="s">
        <v>27</v>
      </c>
    </row>
    <row r="22" spans="1:7" ht="21.75" customHeight="1" x14ac:dyDescent="0.3">
      <c r="A22" t="s">
        <v>18</v>
      </c>
      <c r="B22" t="s">
        <v>19</v>
      </c>
      <c r="C22" t="s">
        <v>25</v>
      </c>
      <c r="D22" s="3">
        <v>0.68</v>
      </c>
      <c r="E22">
        <v>21</v>
      </c>
      <c r="F22" t="s">
        <v>26</v>
      </c>
      <c r="G22" t="s">
        <v>27</v>
      </c>
    </row>
    <row r="23" spans="1:7" ht="21.75" customHeight="1" x14ac:dyDescent="0.3">
      <c r="A23" t="s">
        <v>18</v>
      </c>
      <c r="B23" t="s">
        <v>19</v>
      </c>
      <c r="C23" t="s">
        <v>28</v>
      </c>
      <c r="D23" s="3">
        <v>0.78</v>
      </c>
      <c r="E23">
        <v>22</v>
      </c>
      <c r="F23" t="s">
        <v>29</v>
      </c>
      <c r="G23" t="s">
        <v>27</v>
      </c>
    </row>
    <row r="24" spans="1:7" ht="21.75" customHeight="1" x14ac:dyDescent="0.3">
      <c r="A24" t="s">
        <v>18</v>
      </c>
      <c r="B24" t="s">
        <v>19</v>
      </c>
      <c r="C24" t="s">
        <v>30</v>
      </c>
      <c r="D24" s="3">
        <v>0.97</v>
      </c>
      <c r="E24">
        <v>23</v>
      </c>
      <c r="F24" t="s">
        <v>26</v>
      </c>
      <c r="G24" t="s">
        <v>27</v>
      </c>
    </row>
    <row r="25" spans="1:7" ht="21.75" customHeight="1" x14ac:dyDescent="0.3">
      <c r="A25" t="s">
        <v>18</v>
      </c>
      <c r="B25" t="s">
        <v>19</v>
      </c>
      <c r="C25" t="s">
        <v>31</v>
      </c>
      <c r="D25" s="3">
        <v>0.92</v>
      </c>
      <c r="E25">
        <v>24</v>
      </c>
      <c r="F25" t="s">
        <v>29</v>
      </c>
      <c r="G25" t="s">
        <v>27</v>
      </c>
    </row>
    <row r="26" spans="1:7" ht="21.75" customHeight="1" x14ac:dyDescent="0.3">
      <c r="A26" t="s">
        <v>18</v>
      </c>
      <c r="B26" t="s">
        <v>19</v>
      </c>
      <c r="C26" t="s">
        <v>32</v>
      </c>
      <c r="D26" s="3">
        <v>0.77</v>
      </c>
      <c r="E26">
        <v>25</v>
      </c>
      <c r="F26" t="s">
        <v>26</v>
      </c>
      <c r="G26" t="s">
        <v>27</v>
      </c>
    </row>
    <row r="27" spans="1:7" ht="21.75" customHeight="1" x14ac:dyDescent="0.3">
      <c r="E27">
        <v>26</v>
      </c>
    </row>
    <row r="28" spans="1:7" ht="21.75" customHeight="1" x14ac:dyDescent="0.3">
      <c r="A28" t="s">
        <v>10</v>
      </c>
      <c r="B28" t="s">
        <v>9</v>
      </c>
      <c r="C28" t="s">
        <v>33</v>
      </c>
      <c r="D28">
        <v>0.85</v>
      </c>
      <c r="E28">
        <v>27</v>
      </c>
      <c r="F28" t="s">
        <v>34</v>
      </c>
      <c r="G28" t="s">
        <v>35</v>
      </c>
    </row>
    <row r="29" spans="1:7" ht="21.75" customHeight="1" x14ac:dyDescent="0.3">
      <c r="A29" t="s">
        <v>10</v>
      </c>
      <c r="B29" t="s">
        <v>9</v>
      </c>
      <c r="C29" t="s">
        <v>36</v>
      </c>
      <c r="D29">
        <v>0.78</v>
      </c>
      <c r="E29">
        <v>28</v>
      </c>
      <c r="F29" t="s">
        <v>37</v>
      </c>
      <c r="G29" t="s">
        <v>35</v>
      </c>
    </row>
    <row r="30" spans="1:7" ht="21.75" customHeight="1" x14ac:dyDescent="0.3">
      <c r="A30" t="s">
        <v>10</v>
      </c>
      <c r="B30" t="s">
        <v>9</v>
      </c>
      <c r="C30" t="s">
        <v>38</v>
      </c>
      <c r="D30">
        <v>0.72</v>
      </c>
      <c r="E30">
        <v>29</v>
      </c>
      <c r="F30" t="s">
        <v>34</v>
      </c>
      <c r="G30" t="s">
        <v>35</v>
      </c>
    </row>
    <row r="31" spans="1:7" ht="21.75" customHeight="1" x14ac:dyDescent="0.3">
      <c r="A31" t="s">
        <v>10</v>
      </c>
      <c r="B31" t="s">
        <v>9</v>
      </c>
      <c r="C31" t="s">
        <v>39</v>
      </c>
      <c r="D31">
        <v>0.93</v>
      </c>
      <c r="E31">
        <v>30</v>
      </c>
      <c r="F31" t="s">
        <v>37</v>
      </c>
      <c r="G31" t="s">
        <v>35</v>
      </c>
    </row>
    <row r="32" spans="1:7" ht="21.75" customHeight="1" x14ac:dyDescent="0.3">
      <c r="A32" t="s">
        <v>10</v>
      </c>
      <c r="B32" t="s">
        <v>9</v>
      </c>
      <c r="C32" t="s">
        <v>40</v>
      </c>
      <c r="D32">
        <v>0.91</v>
      </c>
      <c r="E32">
        <v>31</v>
      </c>
      <c r="F32" t="s">
        <v>34</v>
      </c>
      <c r="G32" t="s">
        <v>35</v>
      </c>
    </row>
    <row r="33" spans="1:7" ht="21.75" customHeight="1" x14ac:dyDescent="0.3">
      <c r="A33" t="s">
        <v>12</v>
      </c>
      <c r="B33" t="s">
        <v>13</v>
      </c>
      <c r="C33" t="s">
        <v>33</v>
      </c>
      <c r="D33">
        <v>0.73</v>
      </c>
      <c r="E33">
        <v>32</v>
      </c>
      <c r="F33" t="s">
        <v>34</v>
      </c>
      <c r="G33" t="s">
        <v>35</v>
      </c>
    </row>
    <row r="34" spans="1:7" ht="21.75" customHeight="1" x14ac:dyDescent="0.3">
      <c r="A34" t="s">
        <v>12</v>
      </c>
      <c r="B34" t="s">
        <v>13</v>
      </c>
      <c r="C34" t="s">
        <v>36</v>
      </c>
      <c r="D34">
        <v>0.92</v>
      </c>
      <c r="E34">
        <v>33</v>
      </c>
      <c r="F34" t="s">
        <v>37</v>
      </c>
      <c r="G34" t="s">
        <v>35</v>
      </c>
    </row>
    <row r="35" spans="1:7" ht="21.75" customHeight="1" x14ac:dyDescent="0.3">
      <c r="A35" t="s">
        <v>12</v>
      </c>
      <c r="B35" t="s">
        <v>13</v>
      </c>
      <c r="C35" t="s">
        <v>38</v>
      </c>
      <c r="D35">
        <v>0.95</v>
      </c>
      <c r="E35">
        <v>34</v>
      </c>
      <c r="F35" t="s">
        <v>34</v>
      </c>
      <c r="G35" t="s">
        <v>35</v>
      </c>
    </row>
    <row r="36" spans="1:7" ht="21.75" customHeight="1" x14ac:dyDescent="0.3">
      <c r="A36" t="s">
        <v>12</v>
      </c>
      <c r="B36" t="s">
        <v>13</v>
      </c>
      <c r="C36" t="s">
        <v>39</v>
      </c>
      <c r="D36">
        <v>0.88</v>
      </c>
      <c r="E36">
        <v>35</v>
      </c>
      <c r="F36" t="s">
        <v>37</v>
      </c>
      <c r="G36" t="s">
        <v>35</v>
      </c>
    </row>
    <row r="37" spans="1:7" ht="21.75" customHeight="1" x14ac:dyDescent="0.3">
      <c r="A37" t="s">
        <v>12</v>
      </c>
      <c r="B37" t="s">
        <v>13</v>
      </c>
      <c r="C37" t="s">
        <v>40</v>
      </c>
      <c r="D37">
        <v>0.9</v>
      </c>
      <c r="E37">
        <v>36</v>
      </c>
      <c r="F37" t="s">
        <v>34</v>
      </c>
      <c r="G37" t="s">
        <v>35</v>
      </c>
    </row>
    <row r="38" spans="1:7" ht="21.75" customHeight="1" x14ac:dyDescent="0.3">
      <c r="A38" t="s">
        <v>14</v>
      </c>
      <c r="B38" t="s">
        <v>15</v>
      </c>
      <c r="C38" t="s">
        <v>33</v>
      </c>
      <c r="D38">
        <v>0.77</v>
      </c>
      <c r="E38">
        <v>37</v>
      </c>
      <c r="F38" t="s">
        <v>34</v>
      </c>
      <c r="G38" t="s">
        <v>35</v>
      </c>
    </row>
    <row r="39" spans="1:7" ht="21.75" customHeight="1" x14ac:dyDescent="0.3">
      <c r="A39" t="s">
        <v>14</v>
      </c>
      <c r="B39" t="s">
        <v>15</v>
      </c>
      <c r="C39" t="s">
        <v>36</v>
      </c>
      <c r="D39">
        <v>0.68</v>
      </c>
      <c r="E39">
        <v>38</v>
      </c>
      <c r="F39" t="s">
        <v>37</v>
      </c>
      <c r="G39" t="s">
        <v>35</v>
      </c>
    </row>
    <row r="40" spans="1:7" ht="21.75" customHeight="1" x14ac:dyDescent="0.3">
      <c r="A40" t="s">
        <v>14</v>
      </c>
      <c r="B40" t="s">
        <v>15</v>
      </c>
      <c r="C40" t="s">
        <v>38</v>
      </c>
      <c r="D40">
        <v>0.87</v>
      </c>
      <c r="E40">
        <v>39</v>
      </c>
      <c r="F40" t="s">
        <v>34</v>
      </c>
      <c r="G40" t="s">
        <v>35</v>
      </c>
    </row>
    <row r="41" spans="1:7" ht="21.75" customHeight="1" x14ac:dyDescent="0.3">
      <c r="A41" t="s">
        <v>14</v>
      </c>
      <c r="B41" t="s">
        <v>15</v>
      </c>
      <c r="C41" t="s">
        <v>39</v>
      </c>
      <c r="D41">
        <v>0.74</v>
      </c>
      <c r="E41">
        <v>40</v>
      </c>
      <c r="F41" t="s">
        <v>37</v>
      </c>
      <c r="G41" t="s">
        <v>35</v>
      </c>
    </row>
    <row r="42" spans="1:7" ht="21.75" customHeight="1" x14ac:dyDescent="0.3">
      <c r="A42" t="s">
        <v>14</v>
      </c>
      <c r="B42" t="s">
        <v>15</v>
      </c>
      <c r="C42" t="s">
        <v>40</v>
      </c>
      <c r="D42">
        <v>0.76</v>
      </c>
      <c r="E42">
        <v>41</v>
      </c>
      <c r="F42" t="s">
        <v>34</v>
      </c>
      <c r="G42" t="s">
        <v>35</v>
      </c>
    </row>
    <row r="43" spans="1:7" ht="21.75" customHeight="1" x14ac:dyDescent="0.3">
      <c r="A43" t="s">
        <v>16</v>
      </c>
      <c r="B43" t="s">
        <v>17</v>
      </c>
      <c r="C43" t="s">
        <v>33</v>
      </c>
      <c r="D43">
        <v>0.99</v>
      </c>
      <c r="E43">
        <v>42</v>
      </c>
      <c r="F43" t="s">
        <v>34</v>
      </c>
      <c r="G43" t="s">
        <v>35</v>
      </c>
    </row>
    <row r="44" spans="1:7" ht="21.75" customHeight="1" x14ac:dyDescent="0.3">
      <c r="A44" t="s">
        <v>16</v>
      </c>
      <c r="B44" t="s">
        <v>17</v>
      </c>
      <c r="C44" t="s">
        <v>36</v>
      </c>
      <c r="D44">
        <v>0.74</v>
      </c>
      <c r="E44">
        <v>43</v>
      </c>
      <c r="F44" t="s">
        <v>37</v>
      </c>
      <c r="G44" t="s">
        <v>35</v>
      </c>
    </row>
    <row r="45" spans="1:7" ht="21.75" customHeight="1" x14ac:dyDescent="0.3">
      <c r="A45" t="s">
        <v>16</v>
      </c>
      <c r="B45" t="s">
        <v>17</v>
      </c>
      <c r="C45" t="s">
        <v>38</v>
      </c>
      <c r="D45">
        <v>0.76</v>
      </c>
      <c r="E45">
        <v>44</v>
      </c>
      <c r="F45" t="s">
        <v>34</v>
      </c>
      <c r="G45" t="s">
        <v>35</v>
      </c>
    </row>
    <row r="46" spans="1:7" ht="21.75" customHeight="1" x14ac:dyDescent="0.3">
      <c r="A46" t="s">
        <v>16</v>
      </c>
      <c r="B46" t="s">
        <v>17</v>
      </c>
      <c r="C46" t="s">
        <v>39</v>
      </c>
      <c r="D46">
        <v>0.74</v>
      </c>
      <c r="E46">
        <v>45</v>
      </c>
      <c r="F46" t="s">
        <v>37</v>
      </c>
      <c r="G46" t="s">
        <v>35</v>
      </c>
    </row>
    <row r="47" spans="1:7" ht="21.75" customHeight="1" x14ac:dyDescent="0.3">
      <c r="A47" t="s">
        <v>16</v>
      </c>
      <c r="B47" t="s">
        <v>17</v>
      </c>
      <c r="C47" t="s">
        <v>40</v>
      </c>
      <c r="D47">
        <v>0.7</v>
      </c>
      <c r="E47">
        <v>46</v>
      </c>
      <c r="F47" t="s">
        <v>34</v>
      </c>
      <c r="G47" t="s">
        <v>35</v>
      </c>
    </row>
    <row r="48" spans="1:7" ht="21.75" customHeight="1" x14ac:dyDescent="0.3">
      <c r="A48" t="s">
        <v>18</v>
      </c>
      <c r="B48" t="s">
        <v>19</v>
      </c>
      <c r="C48" t="s">
        <v>33</v>
      </c>
      <c r="D48">
        <v>0.68</v>
      </c>
      <c r="E48">
        <v>47</v>
      </c>
      <c r="F48" t="s">
        <v>34</v>
      </c>
      <c r="G48" t="s">
        <v>35</v>
      </c>
    </row>
    <row r="49" spans="1:7" ht="21.75" customHeight="1" x14ac:dyDescent="0.3">
      <c r="A49" t="s">
        <v>18</v>
      </c>
      <c r="B49" t="s">
        <v>19</v>
      </c>
      <c r="C49" t="s">
        <v>36</v>
      </c>
      <c r="D49">
        <v>0.78</v>
      </c>
      <c r="E49">
        <v>48</v>
      </c>
      <c r="F49" t="s">
        <v>37</v>
      </c>
      <c r="G49" t="s">
        <v>35</v>
      </c>
    </row>
    <row r="50" spans="1:7" ht="21.75" customHeight="1" x14ac:dyDescent="0.3">
      <c r="A50" t="s">
        <v>18</v>
      </c>
      <c r="B50" t="s">
        <v>19</v>
      </c>
      <c r="C50" t="s">
        <v>38</v>
      </c>
      <c r="D50">
        <v>0.97</v>
      </c>
      <c r="E50">
        <v>49</v>
      </c>
      <c r="F50" t="s">
        <v>34</v>
      </c>
      <c r="G50" t="s">
        <v>35</v>
      </c>
    </row>
    <row r="51" spans="1:7" ht="21.75" customHeight="1" x14ac:dyDescent="0.3">
      <c r="A51" t="s">
        <v>18</v>
      </c>
      <c r="B51" t="s">
        <v>19</v>
      </c>
      <c r="C51" t="s">
        <v>39</v>
      </c>
      <c r="D51">
        <v>0.92</v>
      </c>
      <c r="E51">
        <v>50</v>
      </c>
      <c r="F51" t="s">
        <v>37</v>
      </c>
      <c r="G51" t="s">
        <v>35</v>
      </c>
    </row>
    <row r="52" spans="1:7" ht="21.75" customHeight="1" x14ac:dyDescent="0.3">
      <c r="A52" t="s">
        <v>18</v>
      </c>
      <c r="B52" t="s">
        <v>19</v>
      </c>
      <c r="C52" t="s">
        <v>40</v>
      </c>
      <c r="D52">
        <v>0.77</v>
      </c>
      <c r="E52">
        <v>51</v>
      </c>
      <c r="F52" t="s">
        <v>34</v>
      </c>
      <c r="G52" t="s">
        <v>35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4E88-7DD9-0918-8012-9400C4827408}">
  <dimension ref="A1:G43"/>
  <sheetViews>
    <sheetView workbookViewId="0">
      <pane ySplit="1" topLeftCell="A29" activePane="bottomLeft" state="frozen"/>
      <selection pane="bottomLeft" sqref="A1:G43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  <col min="3" max="3" width="48.109375" customWidth="1"/>
    <col min="4" max="5" width="19.109375" customWidth="1"/>
    <col min="6" max="6" width="8.44140625" customWidth="1"/>
    <col min="7" max="7" width="10" customWidth="1"/>
  </cols>
  <sheetData>
    <row r="1" spans="1:7" ht="21.75" customHeight="1" x14ac:dyDescent="0.3">
      <c r="A1" t="s">
        <v>6</v>
      </c>
      <c r="B1" t="s">
        <v>11</v>
      </c>
      <c r="C1" t="s">
        <v>41</v>
      </c>
      <c r="D1" t="s">
        <v>42</v>
      </c>
      <c r="E1" t="s">
        <v>43</v>
      </c>
      <c r="F1" t="s">
        <v>22</v>
      </c>
      <c r="G1" t="s">
        <v>24</v>
      </c>
    </row>
    <row r="2" spans="1:7" ht="21.75" customHeight="1" x14ac:dyDescent="0.3">
      <c r="A2" t="s">
        <v>10</v>
      </c>
      <c r="B2" t="s">
        <v>9</v>
      </c>
      <c r="C2" t="s">
        <v>44</v>
      </c>
      <c r="D2">
        <v>0.35211830585981102</v>
      </c>
      <c r="E2">
        <v>0.35349999999999998</v>
      </c>
      <c r="F2">
        <v>1</v>
      </c>
      <c r="G2" t="s">
        <v>27</v>
      </c>
    </row>
    <row r="3" spans="1:7" ht="21.75" customHeight="1" x14ac:dyDescent="0.3">
      <c r="A3" t="s">
        <v>10</v>
      </c>
      <c r="B3" t="s">
        <v>9</v>
      </c>
      <c r="C3" t="s">
        <v>45</v>
      </c>
      <c r="D3">
        <v>0.27582799101688832</v>
      </c>
      <c r="E3">
        <v>0.27956825491742732</v>
      </c>
      <c r="F3">
        <v>2</v>
      </c>
      <c r="G3" t="s">
        <v>27</v>
      </c>
    </row>
    <row r="4" spans="1:7" ht="21.75" customHeight="1" x14ac:dyDescent="0.3">
      <c r="A4" t="s">
        <v>10</v>
      </c>
      <c r="B4" t="s">
        <v>9</v>
      </c>
      <c r="C4" t="s">
        <v>46</v>
      </c>
      <c r="D4">
        <v>0.70834625446743527</v>
      </c>
      <c r="E4">
        <v>0.71403059564670757</v>
      </c>
      <c r="F4">
        <v>3</v>
      </c>
      <c r="G4" t="s">
        <v>27</v>
      </c>
    </row>
    <row r="5" spans="1:7" ht="21.75" customHeight="1" x14ac:dyDescent="0.3">
      <c r="A5" t="s">
        <v>10</v>
      </c>
      <c r="B5" t="s">
        <v>9</v>
      </c>
      <c r="C5" t="s">
        <v>47</v>
      </c>
      <c r="D5">
        <v>0.40266513357442851</v>
      </c>
      <c r="E5">
        <v>0.4068102992477835</v>
      </c>
      <c r="F5">
        <v>4</v>
      </c>
      <c r="G5" t="s">
        <v>27</v>
      </c>
    </row>
    <row r="6" spans="1:7" ht="21.75" customHeight="1" x14ac:dyDescent="0.3">
      <c r="A6" t="s">
        <v>10</v>
      </c>
      <c r="B6" t="s">
        <v>9</v>
      </c>
      <c r="C6" t="s">
        <v>48</v>
      </c>
      <c r="D6">
        <v>0.701161593375214</v>
      </c>
      <c r="E6">
        <v>0.73720371248395566</v>
      </c>
      <c r="F6">
        <v>5</v>
      </c>
      <c r="G6" t="s">
        <v>27</v>
      </c>
    </row>
    <row r="7" spans="1:7" ht="21.75" customHeight="1" x14ac:dyDescent="0.3">
      <c r="A7" t="s">
        <v>10</v>
      </c>
      <c r="B7" t="s">
        <v>9</v>
      </c>
      <c r="C7" t="s">
        <v>49</v>
      </c>
      <c r="D7">
        <v>0.26895147174254319</v>
      </c>
      <c r="E7">
        <v>0.27263507742543169</v>
      </c>
      <c r="F7">
        <v>6</v>
      </c>
      <c r="G7" t="s">
        <v>27</v>
      </c>
    </row>
    <row r="8" spans="1:7" ht="21.75" customHeight="1" x14ac:dyDescent="0.3">
      <c r="A8" t="s">
        <v>10</v>
      </c>
      <c r="B8" t="s">
        <v>9</v>
      </c>
      <c r="C8" t="s">
        <v>50</v>
      </c>
      <c r="D8">
        <v>0.94000607064017638</v>
      </c>
      <c r="E8">
        <v>0.94745413707726267</v>
      </c>
      <c r="F8">
        <v>7</v>
      </c>
      <c r="G8" t="s">
        <v>27</v>
      </c>
    </row>
    <row r="9" spans="1:7" ht="21.75" customHeight="1" x14ac:dyDescent="0.3">
      <c r="A9" t="s">
        <v>10</v>
      </c>
      <c r="B9" t="s">
        <v>9</v>
      </c>
      <c r="C9" t="s">
        <v>51</v>
      </c>
      <c r="D9">
        <v>0.35847568581637868</v>
      </c>
      <c r="E9">
        <v>0.37007324142519682</v>
      </c>
      <c r="F9">
        <v>8</v>
      </c>
      <c r="G9" t="s">
        <v>27</v>
      </c>
    </row>
    <row r="10" spans="1:7" ht="21.75" customHeight="1" x14ac:dyDescent="0.3">
      <c r="A10" t="s">
        <v>10</v>
      </c>
      <c r="B10" t="s">
        <v>9</v>
      </c>
      <c r="C10" t="s">
        <v>52</v>
      </c>
      <c r="D10">
        <v>0.39236396144278612</v>
      </c>
      <c r="E10">
        <v>0.39630483661691551</v>
      </c>
      <c r="F10">
        <v>9</v>
      </c>
      <c r="G10" t="s">
        <v>27</v>
      </c>
    </row>
    <row r="11" spans="1:7" ht="21.75" customHeight="1" x14ac:dyDescent="0.3">
      <c r="A11" t="s">
        <v>12</v>
      </c>
      <c r="B11" t="s">
        <v>13</v>
      </c>
      <c r="C11" t="s">
        <v>44</v>
      </c>
      <c r="D11">
        <v>0.40266513357442851</v>
      </c>
      <c r="E11">
        <v>0.4068102992477835</v>
      </c>
      <c r="F11">
        <v>10</v>
      </c>
      <c r="G11" t="s">
        <v>27</v>
      </c>
    </row>
    <row r="12" spans="1:7" ht="21.75" customHeight="1" x14ac:dyDescent="0.3">
      <c r="A12" t="s">
        <v>12</v>
      </c>
      <c r="B12" t="s">
        <v>13</v>
      </c>
      <c r="C12" t="s">
        <v>53</v>
      </c>
      <c r="D12">
        <v>1</v>
      </c>
      <c r="E12">
        <v>1</v>
      </c>
      <c r="F12">
        <v>11</v>
      </c>
      <c r="G12" t="s">
        <v>27</v>
      </c>
    </row>
    <row r="13" spans="1:7" ht="21.75" customHeight="1" x14ac:dyDescent="0.3">
      <c r="A13" t="s">
        <v>12</v>
      </c>
      <c r="B13" t="s">
        <v>13</v>
      </c>
      <c r="C13" t="s">
        <v>54</v>
      </c>
      <c r="D13">
        <v>0.77860504856614254</v>
      </c>
      <c r="E13">
        <v>0.77989361124884371</v>
      </c>
      <c r="F13">
        <v>12</v>
      </c>
      <c r="G13" t="s">
        <v>27</v>
      </c>
    </row>
    <row r="14" spans="1:7" ht="21.75" customHeight="1" x14ac:dyDescent="0.3">
      <c r="A14" t="s">
        <v>12</v>
      </c>
      <c r="B14" t="s">
        <v>13</v>
      </c>
      <c r="C14" t="s">
        <v>48</v>
      </c>
      <c r="D14">
        <v>0.701161593375214</v>
      </c>
      <c r="E14">
        <v>0.73720371248395566</v>
      </c>
      <c r="F14">
        <v>13</v>
      </c>
      <c r="G14" t="s">
        <v>27</v>
      </c>
    </row>
    <row r="15" spans="1:7" ht="21.75" customHeight="1" x14ac:dyDescent="0.3">
      <c r="A15" t="s">
        <v>14</v>
      </c>
      <c r="B15" t="s">
        <v>15</v>
      </c>
      <c r="C15" t="s">
        <v>44</v>
      </c>
      <c r="D15">
        <v>0.26895147174254319</v>
      </c>
      <c r="E15">
        <v>0.27263507742543169</v>
      </c>
      <c r="F15">
        <v>14</v>
      </c>
      <c r="G15" t="s">
        <v>27</v>
      </c>
    </row>
    <row r="16" spans="1:7" ht="21.75" customHeight="1" x14ac:dyDescent="0.3">
      <c r="A16" t="s">
        <v>14</v>
      </c>
      <c r="B16" t="s">
        <v>15</v>
      </c>
      <c r="C16" t="s">
        <v>54</v>
      </c>
      <c r="D16">
        <v>0.94000607064017638</v>
      </c>
      <c r="E16">
        <v>0.94745413707726267</v>
      </c>
      <c r="F16">
        <v>15</v>
      </c>
      <c r="G16" t="s">
        <v>27</v>
      </c>
    </row>
    <row r="17" spans="1:7" ht="21.75" customHeight="1" x14ac:dyDescent="0.3">
      <c r="A17" t="s">
        <v>16</v>
      </c>
      <c r="B17" t="s">
        <v>17</v>
      </c>
      <c r="C17" t="s">
        <v>44</v>
      </c>
      <c r="D17">
        <v>0.27582799101688832</v>
      </c>
      <c r="E17">
        <v>0.27956825491742732</v>
      </c>
      <c r="F17">
        <v>16</v>
      </c>
      <c r="G17" t="s">
        <v>27</v>
      </c>
    </row>
    <row r="18" spans="1:7" ht="21.75" customHeight="1" x14ac:dyDescent="0.3">
      <c r="A18" t="s">
        <v>16</v>
      </c>
      <c r="B18" t="s">
        <v>17</v>
      </c>
      <c r="C18" t="s">
        <v>55</v>
      </c>
      <c r="D18">
        <v>0.96333332444444419</v>
      </c>
      <c r="E18">
        <v>0.96425936202449003</v>
      </c>
      <c r="F18">
        <v>17</v>
      </c>
      <c r="G18" t="s">
        <v>27</v>
      </c>
    </row>
    <row r="19" spans="1:7" ht="21.75" customHeight="1" x14ac:dyDescent="0.3">
      <c r="A19" t="s">
        <v>16</v>
      </c>
      <c r="B19" t="s">
        <v>17</v>
      </c>
      <c r="C19" t="s">
        <v>46</v>
      </c>
      <c r="D19">
        <v>0.70834625446743527</v>
      </c>
      <c r="E19">
        <v>0.71403059564670757</v>
      </c>
      <c r="F19">
        <v>18</v>
      </c>
      <c r="G19" t="s">
        <v>27</v>
      </c>
    </row>
    <row r="20" spans="1:7" ht="21.75" customHeight="1" x14ac:dyDescent="0.3">
      <c r="A20" t="s">
        <v>16</v>
      </c>
      <c r="B20" t="s">
        <v>17</v>
      </c>
      <c r="C20" t="s">
        <v>54</v>
      </c>
      <c r="D20">
        <v>0.55938270285584779</v>
      </c>
      <c r="E20">
        <v>0.56022513081595648</v>
      </c>
      <c r="F20">
        <v>19</v>
      </c>
      <c r="G20" t="s">
        <v>27</v>
      </c>
    </row>
    <row r="21" spans="1:7" ht="21.75" customHeight="1" x14ac:dyDescent="0.3">
      <c r="A21" t="s">
        <v>18</v>
      </c>
      <c r="B21" t="s">
        <v>19</v>
      </c>
      <c r="C21" t="s">
        <v>44</v>
      </c>
      <c r="D21">
        <v>0.35847568581637868</v>
      </c>
      <c r="E21">
        <v>0.37007324142519682</v>
      </c>
      <c r="F21">
        <v>20</v>
      </c>
      <c r="G21" t="s">
        <v>27</v>
      </c>
    </row>
    <row r="22" spans="1:7" ht="21.75" customHeight="1" x14ac:dyDescent="0.3">
      <c r="A22" t="s">
        <v>18</v>
      </c>
      <c r="B22" t="s">
        <v>19</v>
      </c>
      <c r="C22" t="s">
        <v>54</v>
      </c>
      <c r="D22">
        <v>0.3221</v>
      </c>
      <c r="E22">
        <v>0.34699999999999998</v>
      </c>
      <c r="F22">
        <v>21</v>
      </c>
      <c r="G22" t="s">
        <v>27</v>
      </c>
    </row>
    <row r="23" spans="1:7" ht="21.75" customHeight="1" x14ac:dyDescent="0.3">
      <c r="F23">
        <v>22</v>
      </c>
    </row>
    <row r="24" spans="1:7" ht="21.75" customHeight="1" x14ac:dyDescent="0.3">
      <c r="A24" t="s">
        <v>10</v>
      </c>
      <c r="B24" t="s">
        <v>9</v>
      </c>
      <c r="C24" t="s">
        <v>56</v>
      </c>
      <c r="D24">
        <v>0.35211830585981102</v>
      </c>
      <c r="E24">
        <v>0.35349999999999998</v>
      </c>
      <c r="F24">
        <v>23</v>
      </c>
      <c r="G24" t="s">
        <v>35</v>
      </c>
    </row>
    <row r="25" spans="1:7" ht="21.75" customHeight="1" x14ac:dyDescent="0.3">
      <c r="A25" t="s">
        <v>10</v>
      </c>
      <c r="B25" t="s">
        <v>9</v>
      </c>
      <c r="C25" t="s">
        <v>57</v>
      </c>
      <c r="D25">
        <v>0.27582799101688832</v>
      </c>
      <c r="E25">
        <v>0.27956825491742732</v>
      </c>
      <c r="F25">
        <v>24</v>
      </c>
      <c r="G25" t="s">
        <v>35</v>
      </c>
    </row>
    <row r="26" spans="1:7" ht="21.75" customHeight="1" x14ac:dyDescent="0.3">
      <c r="A26" t="s">
        <v>10</v>
      </c>
      <c r="B26" t="s">
        <v>9</v>
      </c>
      <c r="C26" t="s">
        <v>58</v>
      </c>
      <c r="D26">
        <v>0.70834625446743527</v>
      </c>
      <c r="E26">
        <v>0.71403059564670757</v>
      </c>
      <c r="F26">
        <v>25</v>
      </c>
      <c r="G26" t="s">
        <v>35</v>
      </c>
    </row>
    <row r="27" spans="1:7" ht="21.75" customHeight="1" x14ac:dyDescent="0.3">
      <c r="A27" t="s">
        <v>10</v>
      </c>
      <c r="B27" t="s">
        <v>9</v>
      </c>
      <c r="C27" t="s">
        <v>59</v>
      </c>
      <c r="D27">
        <v>0.40266513357442851</v>
      </c>
      <c r="E27">
        <v>0.4068102992477835</v>
      </c>
      <c r="F27">
        <v>26</v>
      </c>
      <c r="G27" t="s">
        <v>35</v>
      </c>
    </row>
    <row r="28" spans="1:7" ht="21.75" customHeight="1" x14ac:dyDescent="0.3">
      <c r="A28" t="s">
        <v>10</v>
      </c>
      <c r="B28" t="s">
        <v>9</v>
      </c>
      <c r="C28" t="s">
        <v>60</v>
      </c>
      <c r="D28">
        <v>0.701161593375214</v>
      </c>
      <c r="E28">
        <v>0.73720371248395566</v>
      </c>
      <c r="F28">
        <v>27</v>
      </c>
      <c r="G28" t="s">
        <v>35</v>
      </c>
    </row>
    <row r="29" spans="1:7" ht="21.75" customHeight="1" x14ac:dyDescent="0.3">
      <c r="A29" t="s">
        <v>10</v>
      </c>
      <c r="B29" t="s">
        <v>9</v>
      </c>
      <c r="C29" t="s">
        <v>61</v>
      </c>
      <c r="D29">
        <v>0.26895147174254319</v>
      </c>
      <c r="E29">
        <v>0.27263507742543169</v>
      </c>
      <c r="F29">
        <v>28</v>
      </c>
      <c r="G29" t="s">
        <v>35</v>
      </c>
    </row>
    <row r="30" spans="1:7" ht="21.75" customHeight="1" x14ac:dyDescent="0.3">
      <c r="A30" t="s">
        <v>10</v>
      </c>
      <c r="B30" t="s">
        <v>9</v>
      </c>
      <c r="C30" t="s">
        <v>62</v>
      </c>
      <c r="D30">
        <v>0.94000607064017638</v>
      </c>
      <c r="E30">
        <v>0.94745413707726267</v>
      </c>
      <c r="F30">
        <v>29</v>
      </c>
      <c r="G30" t="s">
        <v>35</v>
      </c>
    </row>
    <row r="31" spans="1:7" ht="21.75" customHeight="1" x14ac:dyDescent="0.3">
      <c r="A31" t="s">
        <v>10</v>
      </c>
      <c r="B31" t="s">
        <v>9</v>
      </c>
      <c r="C31" t="s">
        <v>63</v>
      </c>
      <c r="D31">
        <v>0.35847568581637868</v>
      </c>
      <c r="E31">
        <v>0.37007324142519682</v>
      </c>
      <c r="F31">
        <v>30</v>
      </c>
      <c r="G31" t="s">
        <v>35</v>
      </c>
    </row>
    <row r="32" spans="1:7" ht="21.75" customHeight="1" x14ac:dyDescent="0.3">
      <c r="A32" t="s">
        <v>10</v>
      </c>
      <c r="B32" t="s">
        <v>9</v>
      </c>
      <c r="C32" t="s">
        <v>64</v>
      </c>
      <c r="D32">
        <v>0.39236396144278612</v>
      </c>
      <c r="E32">
        <v>0.39630483661691551</v>
      </c>
      <c r="F32">
        <v>31</v>
      </c>
      <c r="G32" t="s">
        <v>35</v>
      </c>
    </row>
    <row r="33" spans="1:7" ht="21.75" customHeight="1" x14ac:dyDescent="0.3">
      <c r="A33" t="s">
        <v>12</v>
      </c>
      <c r="B33" t="s">
        <v>13</v>
      </c>
      <c r="C33" t="s">
        <v>56</v>
      </c>
      <c r="D33">
        <v>0.40266513357442851</v>
      </c>
      <c r="E33">
        <v>0.4068102992477835</v>
      </c>
      <c r="F33">
        <v>32</v>
      </c>
      <c r="G33" t="s">
        <v>35</v>
      </c>
    </row>
    <row r="34" spans="1:7" ht="21.75" customHeight="1" x14ac:dyDescent="0.3">
      <c r="A34" t="s">
        <v>12</v>
      </c>
      <c r="B34" t="s">
        <v>13</v>
      </c>
      <c r="C34" t="s">
        <v>65</v>
      </c>
      <c r="D34">
        <v>1</v>
      </c>
      <c r="E34">
        <v>1</v>
      </c>
      <c r="F34">
        <v>33</v>
      </c>
      <c r="G34" t="s">
        <v>35</v>
      </c>
    </row>
    <row r="35" spans="1:7" ht="21.75" customHeight="1" x14ac:dyDescent="0.3">
      <c r="A35" t="s">
        <v>12</v>
      </c>
      <c r="B35" t="s">
        <v>13</v>
      </c>
      <c r="C35" t="s">
        <v>66</v>
      </c>
      <c r="D35">
        <v>0.77860504856614254</v>
      </c>
      <c r="E35">
        <v>0.77989361124884371</v>
      </c>
      <c r="F35">
        <v>34</v>
      </c>
      <c r="G35" t="s">
        <v>35</v>
      </c>
    </row>
    <row r="36" spans="1:7" ht="21.75" customHeight="1" x14ac:dyDescent="0.3">
      <c r="A36" t="s">
        <v>12</v>
      </c>
      <c r="B36" t="s">
        <v>13</v>
      </c>
      <c r="C36" t="s">
        <v>60</v>
      </c>
      <c r="D36">
        <v>0.701161593375214</v>
      </c>
      <c r="E36">
        <v>0.73720371248395566</v>
      </c>
      <c r="F36">
        <v>35</v>
      </c>
      <c r="G36" t="s">
        <v>35</v>
      </c>
    </row>
    <row r="37" spans="1:7" ht="21.75" customHeight="1" x14ac:dyDescent="0.3">
      <c r="A37" t="s">
        <v>14</v>
      </c>
      <c r="B37" t="s">
        <v>15</v>
      </c>
      <c r="C37" t="s">
        <v>56</v>
      </c>
      <c r="D37">
        <v>0.26895147174254319</v>
      </c>
      <c r="E37">
        <v>0.27263507742543169</v>
      </c>
      <c r="F37">
        <v>36</v>
      </c>
      <c r="G37" t="s">
        <v>35</v>
      </c>
    </row>
    <row r="38" spans="1:7" ht="21.75" customHeight="1" x14ac:dyDescent="0.3">
      <c r="A38" t="s">
        <v>14</v>
      </c>
      <c r="B38" t="s">
        <v>15</v>
      </c>
      <c r="C38" t="s">
        <v>66</v>
      </c>
      <c r="D38">
        <v>0.94000607064017638</v>
      </c>
      <c r="E38">
        <v>0.94745413707726267</v>
      </c>
      <c r="F38">
        <v>37</v>
      </c>
      <c r="G38" t="s">
        <v>35</v>
      </c>
    </row>
    <row r="39" spans="1:7" ht="21.75" customHeight="1" x14ac:dyDescent="0.3">
      <c r="A39" t="s">
        <v>16</v>
      </c>
      <c r="B39" t="s">
        <v>17</v>
      </c>
      <c r="C39" t="s">
        <v>56</v>
      </c>
      <c r="D39">
        <v>0.27582799101688832</v>
      </c>
      <c r="E39">
        <v>0.27956825491742732</v>
      </c>
      <c r="F39">
        <v>38</v>
      </c>
      <c r="G39" t="s">
        <v>35</v>
      </c>
    </row>
    <row r="40" spans="1:7" ht="21.75" customHeight="1" x14ac:dyDescent="0.3">
      <c r="A40" t="s">
        <v>16</v>
      </c>
      <c r="B40" t="s">
        <v>17</v>
      </c>
      <c r="C40" t="s">
        <v>67</v>
      </c>
      <c r="D40">
        <v>0.96333332444444419</v>
      </c>
      <c r="E40">
        <v>0.96425936202449003</v>
      </c>
      <c r="F40">
        <v>39</v>
      </c>
      <c r="G40" t="s">
        <v>35</v>
      </c>
    </row>
    <row r="41" spans="1:7" ht="21.75" customHeight="1" x14ac:dyDescent="0.3">
      <c r="A41" t="s">
        <v>16</v>
      </c>
      <c r="B41" t="s">
        <v>17</v>
      </c>
      <c r="C41" t="s">
        <v>58</v>
      </c>
      <c r="D41">
        <v>0.70834625446743527</v>
      </c>
      <c r="E41">
        <v>0.71403059564670757</v>
      </c>
      <c r="F41">
        <v>40</v>
      </c>
      <c r="G41" t="s">
        <v>35</v>
      </c>
    </row>
    <row r="42" spans="1:7" ht="21.75" customHeight="1" x14ac:dyDescent="0.3">
      <c r="A42" t="s">
        <v>18</v>
      </c>
      <c r="B42" t="s">
        <v>19</v>
      </c>
      <c r="C42" t="s">
        <v>56</v>
      </c>
      <c r="D42">
        <v>0.35847568581637868</v>
      </c>
      <c r="E42">
        <v>0.37007324142519682</v>
      </c>
      <c r="F42">
        <v>41</v>
      </c>
      <c r="G42" t="s">
        <v>35</v>
      </c>
    </row>
    <row r="43" spans="1:7" ht="21.75" customHeight="1" x14ac:dyDescent="0.3">
      <c r="A43" t="s">
        <v>18</v>
      </c>
      <c r="B43" t="s">
        <v>19</v>
      </c>
      <c r="C43" t="s">
        <v>66</v>
      </c>
      <c r="D43">
        <v>0.3221</v>
      </c>
      <c r="E43">
        <v>0.34699999999999998</v>
      </c>
      <c r="F43">
        <v>42</v>
      </c>
      <c r="G43" t="s">
        <v>35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DCD-FE18-10BC-50D8-8493B2D694C8}">
  <dimension ref="A1:BD34"/>
  <sheetViews>
    <sheetView workbookViewId="0">
      <pane ySplit="1" topLeftCell="A2" activePane="bottomLeft" state="frozen"/>
      <selection pane="bottomLeft" activeCell="B1" sqref="B1"/>
    </sheetView>
  </sheetViews>
  <sheetFormatPr defaultColWidth="9.109375" defaultRowHeight="21.75" customHeight="1" x14ac:dyDescent="0.3"/>
  <cols>
    <col min="1" max="1" width="33.109375" customWidth="1"/>
    <col min="2" max="2" width="18.88671875" customWidth="1"/>
    <col min="3" max="5" width="21.109375" customWidth="1"/>
    <col min="6" max="6" width="20.109375" customWidth="1"/>
    <col min="7" max="8" width="21.109375" customWidth="1"/>
    <col min="9" max="23" width="20.109375" customWidth="1"/>
    <col min="24" max="24" width="19.109375" customWidth="1"/>
    <col min="28" max="28" width="18.88671875" customWidth="1"/>
    <col min="29" max="29" width="20.109375" customWidth="1"/>
    <col min="30" max="30" width="19.109375" customWidth="1"/>
    <col min="31" max="32" width="21.109375" customWidth="1"/>
    <col min="34" max="34" width="33.109375" customWidth="1"/>
    <col min="35" max="35" width="20.109375" customWidth="1"/>
    <col min="36" max="36" width="19.109375" customWidth="1"/>
    <col min="37" max="37" width="21.109375" customWidth="1"/>
    <col min="38" max="38" width="19.109375" customWidth="1"/>
    <col min="40" max="40" width="31.5546875" customWidth="1"/>
    <col min="41" max="41" width="20.109375" customWidth="1"/>
    <col min="42" max="42" width="19.109375" customWidth="1"/>
    <col min="43" max="43" width="21.109375" customWidth="1"/>
    <col min="44" max="44" width="19.109375" customWidth="1"/>
    <col min="46" max="46" width="29.6640625" customWidth="1"/>
    <col min="47" max="47" width="20.109375" customWidth="1"/>
    <col min="48" max="48" width="19.109375" customWidth="1"/>
    <col min="49" max="49" width="21.109375" customWidth="1"/>
    <col min="50" max="50" width="19.109375" customWidth="1"/>
    <col min="52" max="52" width="28.88671875" customWidth="1"/>
    <col min="53" max="53" width="14" customWidth="1"/>
    <col min="54" max="54" width="19.109375" customWidth="1"/>
    <col min="55" max="55" width="21.109375" customWidth="1"/>
    <col min="56" max="56" width="18.6640625" customWidth="1"/>
  </cols>
  <sheetData>
    <row r="1" spans="1:56" ht="21.75" customHeight="1" x14ac:dyDescent="0.3">
      <c r="A1" t="s">
        <v>127</v>
      </c>
      <c r="AB1" t="s">
        <v>9</v>
      </c>
      <c r="AH1" t="s">
        <v>68</v>
      </c>
      <c r="AN1" t="s">
        <v>69</v>
      </c>
      <c r="AT1" t="s">
        <v>70</v>
      </c>
      <c r="AZ1" t="s">
        <v>71</v>
      </c>
    </row>
    <row r="2" spans="1:56" ht="21.75" customHeight="1" x14ac:dyDescent="0.3">
      <c r="A2" t="s">
        <v>9</v>
      </c>
      <c r="B2" t="s">
        <v>72</v>
      </c>
      <c r="C2" s="2">
        <v>45748</v>
      </c>
      <c r="D2" s="2">
        <v>45778</v>
      </c>
      <c r="E2" s="2">
        <v>45809</v>
      </c>
      <c r="F2" s="2">
        <v>45839</v>
      </c>
      <c r="G2" s="2">
        <v>45870</v>
      </c>
      <c r="H2" s="2">
        <v>45901</v>
      </c>
      <c r="I2" s="2">
        <v>45931</v>
      </c>
      <c r="J2" s="2">
        <v>45962</v>
      </c>
      <c r="K2" s="2">
        <v>45992</v>
      </c>
      <c r="L2" s="2">
        <v>46023</v>
      </c>
      <c r="M2" s="2">
        <v>46054</v>
      </c>
      <c r="N2" s="2">
        <v>46082</v>
      </c>
      <c r="O2" s="2">
        <v>46113</v>
      </c>
      <c r="P2" s="2">
        <v>46143</v>
      </c>
      <c r="Q2" s="2">
        <v>46174</v>
      </c>
      <c r="R2" s="2">
        <v>46204</v>
      </c>
      <c r="S2" s="2">
        <v>46235</v>
      </c>
      <c r="T2" s="2">
        <v>46266</v>
      </c>
      <c r="U2" s="2">
        <v>46296</v>
      </c>
      <c r="V2" s="2">
        <v>46327</v>
      </c>
      <c r="W2" s="2">
        <v>46357</v>
      </c>
      <c r="X2" t="s">
        <v>73</v>
      </c>
      <c r="AB2" t="s">
        <v>72</v>
      </c>
      <c r="AC2" t="s">
        <v>74</v>
      </c>
      <c r="AD2" t="s">
        <v>75</v>
      </c>
      <c r="AE2" t="s">
        <v>76</v>
      </c>
      <c r="AF2" t="s">
        <v>77</v>
      </c>
      <c r="AH2" t="s">
        <v>72</v>
      </c>
      <c r="AI2" t="s">
        <v>74</v>
      </c>
      <c r="AJ2" t="s">
        <v>75</v>
      </c>
      <c r="AK2" t="s">
        <v>76</v>
      </c>
      <c r="AL2" t="s">
        <v>77</v>
      </c>
      <c r="AN2" t="s">
        <v>72</v>
      </c>
      <c r="AO2" t="s">
        <v>74</v>
      </c>
      <c r="AP2" t="s">
        <v>75</v>
      </c>
      <c r="AQ2" t="s">
        <v>76</v>
      </c>
      <c r="AR2" t="s">
        <v>77</v>
      </c>
      <c r="AT2" t="s">
        <v>72</v>
      </c>
      <c r="AU2" t="s">
        <v>74</v>
      </c>
      <c r="AV2" t="s">
        <v>75</v>
      </c>
      <c r="AW2" t="s">
        <v>76</v>
      </c>
      <c r="AX2" t="s">
        <v>77</v>
      </c>
      <c r="AZ2" t="s">
        <v>72</v>
      </c>
      <c r="BA2" t="s">
        <v>74</v>
      </c>
      <c r="BB2" t="s">
        <v>75</v>
      </c>
      <c r="BC2" t="s">
        <v>76</v>
      </c>
      <c r="BD2" t="s">
        <v>77</v>
      </c>
    </row>
    <row r="3" spans="1:56" ht="21.75" customHeight="1" x14ac:dyDescent="0.3">
      <c r="A3" t="s">
        <v>9</v>
      </c>
      <c r="B3" t="s">
        <v>74</v>
      </c>
      <c r="C3">
        <v>6.1999999999999998E-3</v>
      </c>
      <c r="D3">
        <v>1.0500000000000001E-2</v>
      </c>
      <c r="E3">
        <v>1.26E-2</v>
      </c>
      <c r="F3">
        <v>9.9000000000000008E-3</v>
      </c>
      <c r="G3">
        <v>1.32E-2</v>
      </c>
      <c r="H3">
        <v>2.2800000000000001E-2</v>
      </c>
      <c r="I3">
        <v>4.5499999999999999E-2</v>
      </c>
      <c r="J3">
        <v>3.39E-2</v>
      </c>
      <c r="K3">
        <v>3.9E-2</v>
      </c>
      <c r="L3">
        <v>2.3800000000000002E-2</v>
      </c>
      <c r="M3">
        <v>4.2299999999999997E-2</v>
      </c>
      <c r="N3">
        <v>5.8200000000000002E-2</v>
      </c>
      <c r="O3">
        <v>3.4200000000000001E-2</v>
      </c>
      <c r="P3">
        <v>5.9534785459740253E-2</v>
      </c>
      <c r="Q3">
        <v>7.0314002069634382E-2</v>
      </c>
      <c r="R3">
        <v>7.9217427155394898E-2</v>
      </c>
      <c r="S3">
        <v>7.553021273566432E-2</v>
      </c>
      <c r="T3">
        <v>0.1295319372971161</v>
      </c>
      <c r="U3">
        <v>7.9063006046898629E-2</v>
      </c>
      <c r="V3">
        <v>7.7601784146798761E-2</v>
      </c>
      <c r="W3">
        <v>7.7088541045253936E-2</v>
      </c>
      <c r="X3">
        <v>0.99998169595650133</v>
      </c>
      <c r="AB3" s="2">
        <v>45748</v>
      </c>
      <c r="AC3">
        <v>6.1999999999999998E-3</v>
      </c>
      <c r="AD3">
        <v>6.1999999999999998E-3</v>
      </c>
      <c r="AE3">
        <v>7.6071214585207358E-3</v>
      </c>
      <c r="AF3">
        <v>7.6071214585207358E-3</v>
      </c>
      <c r="AH3" s="2">
        <v>45748</v>
      </c>
      <c r="AI3">
        <v>5.9999999999999995E-4</v>
      </c>
      <c r="AJ3">
        <v>5.9999999999999995E-4</v>
      </c>
      <c r="AK3">
        <v>0</v>
      </c>
      <c r="AL3">
        <v>0</v>
      </c>
      <c r="AN3" s="2">
        <v>45748</v>
      </c>
      <c r="AO3">
        <v>3.8999999999999998E-3</v>
      </c>
      <c r="AP3">
        <v>3.8999999999999998E-3</v>
      </c>
      <c r="AQ3">
        <v>3.8999999999999998E-3</v>
      </c>
      <c r="AR3">
        <v>3.8999999999999998E-3</v>
      </c>
      <c r="AZ3" s="2">
        <v>45748</v>
      </c>
    </row>
    <row r="4" spans="1:56" ht="21.75" customHeight="1" x14ac:dyDescent="0.3">
      <c r="A4" t="s">
        <v>9</v>
      </c>
      <c r="B4" t="s">
        <v>75</v>
      </c>
      <c r="C4">
        <v>6.1999999999999998E-3</v>
      </c>
      <c r="D4">
        <v>1.67E-2</v>
      </c>
      <c r="E4">
        <v>2.93E-2</v>
      </c>
      <c r="F4">
        <v>3.9199999999999999E-2</v>
      </c>
      <c r="G4">
        <v>5.2400000000000002E-2</v>
      </c>
      <c r="H4">
        <v>7.5200000000000003E-2</v>
      </c>
      <c r="I4">
        <v>0.1207</v>
      </c>
      <c r="J4">
        <v>0.15459999999999999</v>
      </c>
      <c r="K4">
        <v>0.19359999999999999</v>
      </c>
      <c r="L4">
        <v>0.21740000000000001</v>
      </c>
      <c r="M4">
        <v>0.25969999999999999</v>
      </c>
      <c r="N4">
        <v>0.31790000000000013</v>
      </c>
      <c r="O4">
        <v>0.35210000000000008</v>
      </c>
      <c r="P4">
        <v>0.4116347854597403</v>
      </c>
      <c r="Q4">
        <v>0.4819487875293747</v>
      </c>
      <c r="R4">
        <v>0.56116621468476957</v>
      </c>
      <c r="S4">
        <v>0.63669642742043386</v>
      </c>
      <c r="T4">
        <v>0.76622836471754996</v>
      </c>
      <c r="U4">
        <v>0.8452913707644486</v>
      </c>
      <c r="V4">
        <v>0.92289315491124735</v>
      </c>
      <c r="W4">
        <v>0.99998169595650133</v>
      </c>
      <c r="AB4" s="2">
        <v>45778</v>
      </c>
      <c r="AC4">
        <v>1.0500000000000001E-2</v>
      </c>
      <c r="AD4">
        <v>1.67E-2</v>
      </c>
      <c r="AE4">
        <v>1.47222876853031E-2</v>
      </c>
      <c r="AF4">
        <v>2.232940914382384E-2</v>
      </c>
      <c r="AH4" s="2">
        <v>45778</v>
      </c>
      <c r="AI4">
        <v>9.9000000000000008E-3</v>
      </c>
      <c r="AJ4">
        <v>1.0500000000000001E-2</v>
      </c>
      <c r="AK4">
        <v>1.0500000000000001E-2</v>
      </c>
      <c r="AL4">
        <v>1.0500000000000001E-2</v>
      </c>
      <c r="AN4" s="2">
        <v>45778</v>
      </c>
      <c r="AO4">
        <v>6.1999999999999998E-3</v>
      </c>
      <c r="AP4">
        <v>1.01E-2</v>
      </c>
      <c r="AQ4">
        <v>8.3000000000000018E-3</v>
      </c>
      <c r="AR4">
        <v>1.2200000000000001E-2</v>
      </c>
      <c r="AZ4" s="2">
        <v>45778</v>
      </c>
    </row>
    <row r="5" spans="1:56" ht="21.75" customHeight="1" x14ac:dyDescent="0.3">
      <c r="A5" t="s">
        <v>9</v>
      </c>
      <c r="B5" t="s">
        <v>76</v>
      </c>
      <c r="C5">
        <v>7.6071214585207358E-3</v>
      </c>
      <c r="D5">
        <v>1.47222876853031E-2</v>
      </c>
      <c r="E5">
        <v>2.007059085617616E-2</v>
      </c>
      <c r="F5">
        <v>1.67E-2</v>
      </c>
      <c r="G5">
        <v>1.44E-2</v>
      </c>
      <c r="H5">
        <v>1.5100000000000001E-2</v>
      </c>
      <c r="I5">
        <v>3.3500000000000002E-2</v>
      </c>
      <c r="J5">
        <v>3.8100000000000009E-2</v>
      </c>
      <c r="K5">
        <v>2.7099999999999989E-2</v>
      </c>
      <c r="L5">
        <v>3.0200000000000001E-2</v>
      </c>
      <c r="M5">
        <v>5.9600000000000007E-2</v>
      </c>
      <c r="N5">
        <v>4.6300000000000008E-2</v>
      </c>
      <c r="O5">
        <v>3.009999999999996E-2</v>
      </c>
      <c r="AB5" s="2">
        <v>45809</v>
      </c>
      <c r="AC5">
        <v>1.26E-2</v>
      </c>
      <c r="AD5">
        <v>2.93E-2</v>
      </c>
      <c r="AE5">
        <v>2.007059085617616E-2</v>
      </c>
      <c r="AF5">
        <v>4.24E-2</v>
      </c>
      <c r="AH5" s="2">
        <v>45809</v>
      </c>
      <c r="AI5">
        <v>8.2000000000000007E-3</v>
      </c>
      <c r="AJ5">
        <v>1.8700000000000001E-2</v>
      </c>
      <c r="AK5">
        <v>8.4999999999999989E-3</v>
      </c>
      <c r="AL5">
        <v>1.9E-2</v>
      </c>
      <c r="AN5" s="2">
        <v>45809</v>
      </c>
      <c r="AO5">
        <v>8.0000000000000002E-3</v>
      </c>
      <c r="AP5">
        <v>1.8100000000000002E-2</v>
      </c>
      <c r="AQ5">
        <v>7.899999999999999E-3</v>
      </c>
      <c r="AR5">
        <v>2.01E-2</v>
      </c>
      <c r="AT5" s="2">
        <v>45809</v>
      </c>
      <c r="AU5">
        <v>1.77E-2</v>
      </c>
      <c r="AV5">
        <v>1.77E-2</v>
      </c>
      <c r="AW5">
        <v>1.5599999999999999E-2</v>
      </c>
      <c r="AX5">
        <v>1.5599999999999999E-2</v>
      </c>
      <c r="AZ5" s="2">
        <v>45809</v>
      </c>
    </row>
    <row r="6" spans="1:56" ht="21.75" customHeight="1" x14ac:dyDescent="0.3">
      <c r="A6" t="s">
        <v>9</v>
      </c>
      <c r="B6" t="s">
        <v>77</v>
      </c>
      <c r="C6">
        <v>7.6071214585207358E-3</v>
      </c>
      <c r="D6">
        <v>2.232940914382384E-2</v>
      </c>
      <c r="E6">
        <v>4.24E-2</v>
      </c>
      <c r="F6">
        <v>5.91E-2</v>
      </c>
      <c r="G6">
        <v>7.3499999999999996E-2</v>
      </c>
      <c r="H6">
        <v>8.8599999999999998E-2</v>
      </c>
      <c r="I6">
        <v>0.1221</v>
      </c>
      <c r="J6">
        <v>0.16020000000000001</v>
      </c>
      <c r="K6">
        <v>0.18729999999999999</v>
      </c>
      <c r="L6">
        <v>0.2175</v>
      </c>
      <c r="M6">
        <v>0.27710000000000001</v>
      </c>
      <c r="N6">
        <v>0.32340000000000002</v>
      </c>
      <c r="O6">
        <v>0.35349999999999998</v>
      </c>
      <c r="AB6" s="2">
        <v>45839</v>
      </c>
      <c r="AC6">
        <v>9.9000000000000008E-3</v>
      </c>
      <c r="AD6">
        <v>3.9199999999999999E-2</v>
      </c>
      <c r="AE6">
        <v>1.67E-2</v>
      </c>
      <c r="AF6">
        <v>5.91E-2</v>
      </c>
      <c r="AH6" s="2">
        <v>45839</v>
      </c>
      <c r="AI6">
        <v>1.2800000000000001E-2</v>
      </c>
      <c r="AJ6">
        <v>3.15E-2</v>
      </c>
      <c r="AK6">
        <v>2.4799999999999999E-2</v>
      </c>
      <c r="AL6">
        <v>4.3799999999999999E-2</v>
      </c>
      <c r="AN6" s="2">
        <v>45839</v>
      </c>
      <c r="AO6">
        <v>7.9000000000000008E-3</v>
      </c>
      <c r="AP6">
        <v>2.5999999999999999E-2</v>
      </c>
      <c r="AQ6">
        <v>1.6199999999999999E-2</v>
      </c>
      <c r="AR6">
        <v>3.6299999999999999E-2</v>
      </c>
      <c r="AT6" s="2">
        <v>45839</v>
      </c>
      <c r="AU6">
        <v>3.9199999999999999E-2</v>
      </c>
      <c r="AV6">
        <v>5.6899999999999999E-2</v>
      </c>
      <c r="AW6">
        <v>4.3899999999999988E-2</v>
      </c>
      <c r="AX6">
        <v>5.9499999999999997E-2</v>
      </c>
      <c r="AZ6" s="2">
        <v>45839</v>
      </c>
    </row>
    <row r="7" spans="1:56" ht="21.75" customHeight="1" x14ac:dyDescent="0.3">
      <c r="AB7" s="2">
        <v>45870</v>
      </c>
      <c r="AC7">
        <v>1.32E-2</v>
      </c>
      <c r="AD7">
        <v>5.2400000000000002E-2</v>
      </c>
      <c r="AE7">
        <v>1.44E-2</v>
      </c>
      <c r="AF7">
        <v>7.3499999999999996E-2</v>
      </c>
      <c r="AH7" s="2">
        <v>45870</v>
      </c>
      <c r="AI7">
        <v>1.12E-2</v>
      </c>
      <c r="AJ7">
        <v>4.2700000000000002E-2</v>
      </c>
      <c r="AK7">
        <v>1.34E-2</v>
      </c>
      <c r="AL7">
        <v>5.7200000000000001E-2</v>
      </c>
      <c r="AN7" s="2">
        <v>45870</v>
      </c>
      <c r="AO7">
        <v>1.2500000000000001E-2</v>
      </c>
      <c r="AP7">
        <v>3.85E-2</v>
      </c>
      <c r="AQ7">
        <v>1.66E-2</v>
      </c>
      <c r="AR7">
        <v>5.2900000000000003E-2</v>
      </c>
      <c r="AT7" s="2">
        <v>45870</v>
      </c>
      <c r="AU7">
        <v>3.2000000000000002E-3</v>
      </c>
      <c r="AV7">
        <v>6.0100000000000001E-2</v>
      </c>
      <c r="AW7">
        <v>8.0000000000000071E-3</v>
      </c>
      <c r="AX7">
        <v>6.7500000000000004E-2</v>
      </c>
      <c r="AZ7" s="2">
        <v>45870</v>
      </c>
      <c r="BA7">
        <v>1.9800000000000002E-2</v>
      </c>
      <c r="BB7">
        <v>1.9800000000000002E-2</v>
      </c>
      <c r="BC7">
        <v>3.5000000000000003E-2</v>
      </c>
      <c r="BD7">
        <v>3.5000000000000003E-2</v>
      </c>
    </row>
    <row r="8" spans="1:56" ht="21.75" customHeight="1" x14ac:dyDescent="0.3">
      <c r="AB8" s="2">
        <v>45901</v>
      </c>
      <c r="AC8">
        <v>2.2800000000000001E-2</v>
      </c>
      <c r="AD8">
        <v>7.5200000000000003E-2</v>
      </c>
      <c r="AE8">
        <v>1.5100000000000001E-2</v>
      </c>
      <c r="AF8">
        <v>8.8599999999999998E-2</v>
      </c>
      <c r="AH8" s="2">
        <v>45901</v>
      </c>
      <c r="AI8">
        <v>2.4199999999999999E-2</v>
      </c>
      <c r="AJ8">
        <v>6.6900000000000001E-2</v>
      </c>
      <c r="AK8">
        <v>2.12E-2</v>
      </c>
      <c r="AL8">
        <v>7.8399999999999997E-2</v>
      </c>
      <c r="AN8" s="2">
        <v>45901</v>
      </c>
      <c r="AO8">
        <v>2.29E-2</v>
      </c>
      <c r="AP8">
        <v>6.1400000000000003E-2</v>
      </c>
      <c r="AQ8">
        <v>2.4799999999999999E-2</v>
      </c>
      <c r="AR8">
        <v>7.7700000000000005E-2</v>
      </c>
      <c r="AT8" s="2">
        <v>45901</v>
      </c>
      <c r="AU8">
        <v>6.1999999999999998E-3</v>
      </c>
      <c r="AV8">
        <v>6.6299999999999998E-2</v>
      </c>
      <c r="AW8">
        <v>4.2999999999999983E-3</v>
      </c>
      <c r="AX8">
        <v>7.1800000000000003E-2</v>
      </c>
      <c r="AZ8" s="2">
        <v>45901</v>
      </c>
      <c r="BA8">
        <v>1.6199999999999999E-2</v>
      </c>
      <c r="BB8">
        <v>3.5999999999999997E-2</v>
      </c>
      <c r="BC8">
        <v>5.9999999999999984E-3</v>
      </c>
      <c r="BD8">
        <v>4.1000000000000002E-2</v>
      </c>
    </row>
    <row r="9" spans="1:56" ht="21.75" customHeight="1" x14ac:dyDescent="0.3">
      <c r="A9" t="s">
        <v>68</v>
      </c>
      <c r="B9" t="s">
        <v>72</v>
      </c>
      <c r="C9" s="2">
        <v>45748</v>
      </c>
      <c r="D9" s="2">
        <v>45778</v>
      </c>
      <c r="E9" s="2">
        <v>45809</v>
      </c>
      <c r="F9" s="2">
        <v>45839</v>
      </c>
      <c r="G9" s="2">
        <v>45870</v>
      </c>
      <c r="H9" s="2">
        <v>45901</v>
      </c>
      <c r="I9" s="2">
        <v>45931</v>
      </c>
      <c r="J9" s="2">
        <v>45962</v>
      </c>
      <c r="K9" s="2">
        <v>45992</v>
      </c>
      <c r="L9" s="2">
        <v>46023</v>
      </c>
      <c r="M9" s="2">
        <v>46054</v>
      </c>
      <c r="N9" s="2">
        <v>46082</v>
      </c>
      <c r="O9" s="2">
        <v>46113</v>
      </c>
      <c r="P9" s="2">
        <v>46143</v>
      </c>
      <c r="Q9" s="2">
        <v>46174</v>
      </c>
      <c r="R9" s="2">
        <v>46204</v>
      </c>
      <c r="S9" s="2">
        <v>46235</v>
      </c>
      <c r="T9" s="2">
        <v>46266</v>
      </c>
      <c r="U9" s="2">
        <v>46296</v>
      </c>
      <c r="V9" s="2">
        <v>46327</v>
      </c>
      <c r="W9" s="2">
        <v>46357</v>
      </c>
      <c r="X9" t="s">
        <v>73</v>
      </c>
      <c r="AB9" s="2">
        <v>45931</v>
      </c>
      <c r="AC9">
        <v>4.5499999999999999E-2</v>
      </c>
      <c r="AD9">
        <v>0.1207</v>
      </c>
      <c r="AE9">
        <v>3.3500000000000002E-2</v>
      </c>
      <c r="AF9">
        <v>0.1221</v>
      </c>
      <c r="AH9" s="2">
        <v>45931</v>
      </c>
      <c r="AI9">
        <v>9.5899999999999999E-2</v>
      </c>
      <c r="AJ9">
        <v>0.1628</v>
      </c>
      <c r="AK9">
        <v>7.2700000000000015E-2</v>
      </c>
      <c r="AL9">
        <v>0.15110000000000001</v>
      </c>
      <c r="AN9" s="2">
        <v>45931</v>
      </c>
      <c r="AO9">
        <v>2.1999999999999999E-2</v>
      </c>
      <c r="AP9">
        <v>8.3400000000000002E-2</v>
      </c>
      <c r="AQ9">
        <v>2.0199999999999999E-2</v>
      </c>
      <c r="AR9">
        <v>9.7900000000000001E-2</v>
      </c>
      <c r="AT9" s="2">
        <v>45931</v>
      </c>
      <c r="AU9">
        <v>9.2999999999999992E-3</v>
      </c>
      <c r="AV9">
        <v>7.5600000000000001E-2</v>
      </c>
      <c r="AW9">
        <v>1.279999999999999E-2</v>
      </c>
      <c r="AX9">
        <v>8.4599999999999995E-2</v>
      </c>
      <c r="AZ9" s="2">
        <v>45931</v>
      </c>
      <c r="BA9">
        <v>4.0399999999999998E-2</v>
      </c>
      <c r="BB9">
        <v>7.6399999999999996E-2</v>
      </c>
      <c r="BC9">
        <v>4.2900000000000001E-2</v>
      </c>
      <c r="BD9">
        <v>8.3900000000000002E-2</v>
      </c>
    </row>
    <row r="10" spans="1:56" ht="21.75" customHeight="1" x14ac:dyDescent="0.3">
      <c r="A10" t="s">
        <v>68</v>
      </c>
      <c r="B10" t="s">
        <v>74</v>
      </c>
      <c r="C10">
        <v>5.9999999999999995E-4</v>
      </c>
      <c r="D10">
        <v>9.9000000000000008E-3</v>
      </c>
      <c r="E10">
        <v>8.2000000000000007E-3</v>
      </c>
      <c r="F10">
        <v>1.2800000000000001E-2</v>
      </c>
      <c r="G10">
        <v>1.12E-2</v>
      </c>
      <c r="H10">
        <v>2.4199999999999999E-2</v>
      </c>
      <c r="I10">
        <v>9.5899999999999999E-2</v>
      </c>
      <c r="J10">
        <v>4.5699999999999998E-2</v>
      </c>
      <c r="K10">
        <v>5.3600000000000002E-2</v>
      </c>
      <c r="L10">
        <v>5.1499999999999997E-2</v>
      </c>
      <c r="M10">
        <v>5.45E-2</v>
      </c>
      <c r="N10">
        <v>9.1000000000000004E-3</v>
      </c>
      <c r="O10">
        <v>2.5499999999999998E-2</v>
      </c>
      <c r="P10">
        <v>4.5209984251049933E-2</v>
      </c>
      <c r="Q10">
        <v>5.8723647340177321E-2</v>
      </c>
      <c r="R10">
        <v>8.0306391157256185E-2</v>
      </c>
      <c r="S10">
        <v>0.1044428820578628</v>
      </c>
      <c r="T10">
        <v>0.1397438888240784</v>
      </c>
      <c r="U10">
        <v>9.057862809146057E-2</v>
      </c>
      <c r="V10">
        <v>7.8329444703686427E-2</v>
      </c>
      <c r="X10">
        <v>1.000034866425572</v>
      </c>
      <c r="AB10" s="2">
        <v>45962</v>
      </c>
      <c r="AC10">
        <v>3.39E-2</v>
      </c>
      <c r="AD10">
        <v>0.15459999999999999</v>
      </c>
      <c r="AE10">
        <v>3.8100000000000009E-2</v>
      </c>
      <c r="AF10">
        <v>0.16020000000000001</v>
      </c>
      <c r="AH10" s="2">
        <v>45962</v>
      </c>
      <c r="AI10">
        <v>4.5699999999999998E-2</v>
      </c>
      <c r="AJ10">
        <v>0.20849999999999999</v>
      </c>
      <c r="AK10">
        <v>5.8999999999999997E-2</v>
      </c>
      <c r="AL10">
        <v>0.21010000000000001</v>
      </c>
      <c r="AN10" s="2">
        <v>45962</v>
      </c>
      <c r="AO10">
        <v>2.7199999999999998E-2</v>
      </c>
      <c r="AP10">
        <v>0.1106</v>
      </c>
      <c r="AQ10">
        <v>1.9800000000000002E-2</v>
      </c>
      <c r="AR10">
        <v>0.1177</v>
      </c>
      <c r="AT10" s="2">
        <v>45962</v>
      </c>
      <c r="AU10">
        <v>7.7000000000000002E-3</v>
      </c>
      <c r="AV10">
        <v>8.3299999999999999E-2</v>
      </c>
      <c r="AW10">
        <v>1.37E-2</v>
      </c>
      <c r="AX10">
        <v>9.8299999999999998E-2</v>
      </c>
      <c r="AZ10" s="2">
        <v>45962</v>
      </c>
      <c r="BA10">
        <v>4.19E-2</v>
      </c>
      <c r="BB10">
        <v>0.1183</v>
      </c>
      <c r="BC10">
        <v>3.9699999999999999E-2</v>
      </c>
      <c r="BD10">
        <v>0.1236</v>
      </c>
    </row>
    <row r="11" spans="1:56" ht="21.75" customHeight="1" x14ac:dyDescent="0.3">
      <c r="A11" t="s">
        <v>68</v>
      </c>
      <c r="B11" t="s">
        <v>75</v>
      </c>
      <c r="C11">
        <v>5.9999999999999995E-4</v>
      </c>
      <c r="D11">
        <v>1.0500000000000001E-2</v>
      </c>
      <c r="E11">
        <v>1.8700000000000001E-2</v>
      </c>
      <c r="F11">
        <v>3.15E-2</v>
      </c>
      <c r="G11">
        <v>4.2700000000000002E-2</v>
      </c>
      <c r="H11">
        <v>6.6900000000000001E-2</v>
      </c>
      <c r="I11">
        <v>0.1628</v>
      </c>
      <c r="J11">
        <v>0.20849999999999999</v>
      </c>
      <c r="K11">
        <v>0.2621</v>
      </c>
      <c r="L11">
        <v>0.31359999999999999</v>
      </c>
      <c r="M11">
        <v>0.36809999999999998</v>
      </c>
      <c r="N11">
        <v>0.37719999999999998</v>
      </c>
      <c r="O11">
        <v>0.4027</v>
      </c>
      <c r="P11">
        <v>0.44790998425104989</v>
      </c>
      <c r="Q11">
        <v>0.50663363159122721</v>
      </c>
      <c r="R11">
        <v>0.58694002274848334</v>
      </c>
      <c r="S11">
        <v>0.69138290480634612</v>
      </c>
      <c r="T11">
        <v>0.83112679363042452</v>
      </c>
      <c r="U11">
        <v>0.92170542172188508</v>
      </c>
      <c r="V11">
        <v>1.000034866425572</v>
      </c>
      <c r="AB11" s="2">
        <v>45992</v>
      </c>
      <c r="AC11">
        <v>3.9E-2</v>
      </c>
      <c r="AD11">
        <v>0.19359999999999999</v>
      </c>
      <c r="AE11">
        <v>2.7099999999999989E-2</v>
      </c>
      <c r="AF11">
        <v>0.18729999999999999</v>
      </c>
      <c r="AH11" s="2">
        <v>45992</v>
      </c>
      <c r="AI11">
        <v>5.3600000000000002E-2</v>
      </c>
      <c r="AJ11">
        <v>0.2621</v>
      </c>
      <c r="AK11">
        <v>4.4999999999999978E-2</v>
      </c>
      <c r="AL11">
        <v>0.25509999999999999</v>
      </c>
      <c r="AN11" s="2">
        <v>45992</v>
      </c>
      <c r="AO11">
        <v>2.69E-2</v>
      </c>
      <c r="AP11">
        <v>0.13750000000000001</v>
      </c>
      <c r="AQ11">
        <v>1.519999999999999E-2</v>
      </c>
      <c r="AR11">
        <v>0.13289999999999999</v>
      </c>
      <c r="AT11" s="2">
        <v>45992</v>
      </c>
      <c r="AU11">
        <v>2.5700000000000001E-2</v>
      </c>
      <c r="AV11">
        <v>0.109</v>
      </c>
      <c r="AW11">
        <v>1.9900000000000001E-2</v>
      </c>
      <c r="AX11">
        <v>0.1182</v>
      </c>
      <c r="AZ11" s="2">
        <v>45992</v>
      </c>
      <c r="BA11">
        <v>4.3799999999999999E-2</v>
      </c>
      <c r="BB11">
        <v>0.16209999999999999</v>
      </c>
      <c r="BC11">
        <v>4.65E-2</v>
      </c>
      <c r="BD11">
        <v>0.1701</v>
      </c>
    </row>
    <row r="12" spans="1:56" ht="21.75" customHeight="1" x14ac:dyDescent="0.3">
      <c r="A12" t="s">
        <v>68</v>
      </c>
      <c r="B12" t="s">
        <v>76</v>
      </c>
      <c r="C12">
        <v>0</v>
      </c>
      <c r="D12">
        <v>1.0500000000000001E-2</v>
      </c>
      <c r="E12">
        <v>8.4999999999999989E-3</v>
      </c>
      <c r="F12">
        <v>2.4799999999999999E-2</v>
      </c>
      <c r="G12">
        <v>1.34E-2</v>
      </c>
      <c r="H12">
        <v>2.12E-2</v>
      </c>
      <c r="I12">
        <v>7.2700000000000015E-2</v>
      </c>
      <c r="J12">
        <v>5.8999999999999997E-2</v>
      </c>
      <c r="K12">
        <v>4.4999999999999978E-2</v>
      </c>
      <c r="L12">
        <v>3.9200000000000013E-2</v>
      </c>
      <c r="M12">
        <v>7.489378396080254E-2</v>
      </c>
      <c r="N12">
        <v>1.3363861406439579E-2</v>
      </c>
      <c r="O12">
        <v>2.4252653880541371E-2</v>
      </c>
      <c r="AB12" s="2">
        <v>46023</v>
      </c>
      <c r="AC12">
        <v>2.3800000000000002E-2</v>
      </c>
      <c r="AD12">
        <v>0.21740000000000001</v>
      </c>
      <c r="AE12">
        <v>3.0200000000000001E-2</v>
      </c>
      <c r="AF12">
        <v>0.2175</v>
      </c>
      <c r="AH12" s="2">
        <v>46023</v>
      </c>
      <c r="AI12">
        <v>5.1499999999999997E-2</v>
      </c>
      <c r="AJ12">
        <v>0.31359999999999999</v>
      </c>
      <c r="AK12">
        <v>3.9200000000000013E-2</v>
      </c>
      <c r="AL12">
        <v>0.29430000000000001</v>
      </c>
      <c r="AN12" s="2">
        <v>46023</v>
      </c>
      <c r="AO12">
        <v>5.45E-2</v>
      </c>
      <c r="AP12">
        <v>0.192</v>
      </c>
      <c r="AQ12">
        <v>5.9200000000000003E-2</v>
      </c>
      <c r="AR12">
        <v>0.19209999999999999</v>
      </c>
      <c r="AT12" s="2">
        <v>46023</v>
      </c>
      <c r="AU12">
        <v>3.6799999999999999E-2</v>
      </c>
      <c r="AV12">
        <v>0.14580000000000001</v>
      </c>
      <c r="AW12">
        <v>3.9600000000000003E-2</v>
      </c>
      <c r="AX12">
        <v>0.1578</v>
      </c>
      <c r="AZ12" s="2">
        <v>46023</v>
      </c>
      <c r="BA12">
        <v>6.0100000000000001E-2</v>
      </c>
      <c r="BB12">
        <v>0.22220000000000001</v>
      </c>
      <c r="BC12">
        <v>1.0500000000000009E-2</v>
      </c>
      <c r="BD12">
        <v>0.18060000000000001</v>
      </c>
    </row>
    <row r="13" spans="1:56" ht="21.75" customHeight="1" x14ac:dyDescent="0.3">
      <c r="A13" t="s">
        <v>68</v>
      </c>
      <c r="B13" t="s">
        <v>77</v>
      </c>
      <c r="C13">
        <v>0</v>
      </c>
      <c r="D13">
        <v>1.0500000000000001E-2</v>
      </c>
      <c r="E13">
        <v>1.9E-2</v>
      </c>
      <c r="F13">
        <v>4.3799999999999999E-2</v>
      </c>
      <c r="G13">
        <v>5.7200000000000001E-2</v>
      </c>
      <c r="H13">
        <v>7.8399999999999997E-2</v>
      </c>
      <c r="I13">
        <v>0.15110000000000001</v>
      </c>
      <c r="J13">
        <v>0.21010000000000001</v>
      </c>
      <c r="K13">
        <v>0.25509999999999999</v>
      </c>
      <c r="L13">
        <v>0.29430000000000001</v>
      </c>
      <c r="M13">
        <v>0.36919378396080249</v>
      </c>
      <c r="N13">
        <v>0.38255764536724213</v>
      </c>
      <c r="O13">
        <v>0.4068102992477835</v>
      </c>
      <c r="AB13" s="2">
        <v>46054</v>
      </c>
      <c r="AC13">
        <v>4.2299999999999997E-2</v>
      </c>
      <c r="AD13">
        <v>0.25969999999999999</v>
      </c>
      <c r="AE13">
        <v>5.9600000000000007E-2</v>
      </c>
      <c r="AF13">
        <v>0.27710000000000001</v>
      </c>
      <c r="AH13" s="2">
        <v>46054</v>
      </c>
      <c r="AI13">
        <v>5.45E-2</v>
      </c>
      <c r="AJ13">
        <v>0.36809999999999998</v>
      </c>
      <c r="AK13">
        <v>7.489378396080254E-2</v>
      </c>
      <c r="AL13">
        <v>0.36919378396080249</v>
      </c>
      <c r="AN13" s="2">
        <v>46054</v>
      </c>
      <c r="AO13">
        <v>3.27E-2</v>
      </c>
      <c r="AP13">
        <v>0.22470000000000001</v>
      </c>
      <c r="AQ13">
        <v>3.5547406427021172E-2</v>
      </c>
      <c r="AR13">
        <v>0.22764740642702119</v>
      </c>
      <c r="AT13" s="2">
        <v>46054</v>
      </c>
      <c r="AU13">
        <v>2.3E-2</v>
      </c>
      <c r="AV13">
        <v>0.16880000000000001</v>
      </c>
      <c r="AW13">
        <v>3.6739815811616887E-2</v>
      </c>
      <c r="AX13">
        <v>0.19453981581161689</v>
      </c>
      <c r="AZ13" s="2">
        <v>46054</v>
      </c>
      <c r="BA13">
        <v>5.5899999999999998E-2</v>
      </c>
      <c r="BB13">
        <v>0.27810000000000001</v>
      </c>
    </row>
    <row r="14" spans="1:56" ht="21.75" customHeight="1" x14ac:dyDescent="0.3">
      <c r="AB14" s="2">
        <v>46082</v>
      </c>
      <c r="AC14">
        <v>5.8200000000000002E-2</v>
      </c>
      <c r="AD14">
        <v>0.31790000000000013</v>
      </c>
      <c r="AE14">
        <v>4.6300000000000008E-2</v>
      </c>
      <c r="AF14">
        <v>0.32340000000000002</v>
      </c>
      <c r="AH14" s="2">
        <v>46082</v>
      </c>
      <c r="AI14">
        <v>9.1000000000000004E-3</v>
      </c>
      <c r="AJ14">
        <v>0.37719999999999998</v>
      </c>
      <c r="AK14">
        <v>1.3363861406439579E-2</v>
      </c>
      <c r="AL14">
        <v>0.38255764536724213</v>
      </c>
      <c r="AN14" s="2">
        <v>46082</v>
      </c>
      <c r="AO14">
        <v>2.1299999999999999E-2</v>
      </c>
      <c r="AP14">
        <v>0.246</v>
      </c>
      <c r="AQ14">
        <v>2.46996992172476E-2</v>
      </c>
      <c r="AR14">
        <v>0.25234710564426882</v>
      </c>
      <c r="AT14" s="2">
        <v>46082</v>
      </c>
      <c r="AU14">
        <v>6.6500000000000004E-2</v>
      </c>
      <c r="AV14">
        <v>0.23530000000000001</v>
      </c>
      <c r="AW14">
        <v>5.0079384678178962E-2</v>
      </c>
      <c r="AX14">
        <v>0.24461920048979591</v>
      </c>
      <c r="AZ14" s="2">
        <v>46082</v>
      </c>
      <c r="BA14">
        <v>6.2700000000000006E-2</v>
      </c>
      <c r="BB14">
        <v>0.34079999999999999</v>
      </c>
    </row>
    <row r="15" spans="1:56" ht="21.75" customHeight="1" x14ac:dyDescent="0.3">
      <c r="AB15" s="2">
        <v>46113</v>
      </c>
      <c r="AC15">
        <v>3.4200000000000001E-2</v>
      </c>
      <c r="AD15">
        <v>0.35210000000000008</v>
      </c>
      <c r="AE15">
        <v>3.009999999999996E-2</v>
      </c>
      <c r="AF15">
        <v>0.35349999999999998</v>
      </c>
      <c r="AH15" s="2">
        <v>46113</v>
      </c>
      <c r="AI15">
        <v>2.5499999999999998E-2</v>
      </c>
      <c r="AJ15">
        <v>0.4027</v>
      </c>
      <c r="AK15">
        <v>2.4252653880541371E-2</v>
      </c>
      <c r="AL15">
        <v>0.4068102992477835</v>
      </c>
      <c r="AN15" s="2">
        <v>46113</v>
      </c>
      <c r="AO15">
        <v>2.98E-2</v>
      </c>
      <c r="AP15">
        <v>0.27579999999999999</v>
      </c>
      <c r="AQ15">
        <v>2.7221149273158499E-2</v>
      </c>
      <c r="AR15">
        <v>0.27956825491742732</v>
      </c>
      <c r="AT15" s="2">
        <v>46113</v>
      </c>
      <c r="AU15">
        <v>3.3599999999999998E-2</v>
      </c>
      <c r="AV15">
        <v>0.26889999999999997</v>
      </c>
      <c r="AW15">
        <v>2.8015876935635842E-2</v>
      </c>
      <c r="AX15">
        <v>0.27263507742543169</v>
      </c>
      <c r="AZ15" s="2">
        <v>46113</v>
      </c>
      <c r="BA15">
        <v>5.7599999999999998E-2</v>
      </c>
      <c r="BB15">
        <v>0.39839999999999998</v>
      </c>
    </row>
    <row r="16" spans="1:56" ht="21.75" customHeight="1" x14ac:dyDescent="0.3">
      <c r="A16" t="s">
        <v>69</v>
      </c>
      <c r="B16" t="s">
        <v>72</v>
      </c>
      <c r="C16" s="2">
        <v>45748</v>
      </c>
      <c r="D16" s="2">
        <v>45778</v>
      </c>
      <c r="E16" s="2">
        <v>45809</v>
      </c>
      <c r="F16" s="2">
        <v>45839</v>
      </c>
      <c r="G16" s="2">
        <v>45870</v>
      </c>
      <c r="H16" s="2">
        <v>45901</v>
      </c>
      <c r="I16" s="2">
        <v>45931</v>
      </c>
      <c r="J16" s="2">
        <v>45962</v>
      </c>
      <c r="K16" s="2">
        <v>45992</v>
      </c>
      <c r="L16" s="2">
        <v>46023</v>
      </c>
      <c r="M16" s="2">
        <v>46054</v>
      </c>
      <c r="N16" s="2">
        <v>46082</v>
      </c>
      <c r="O16" s="2">
        <v>46113</v>
      </c>
      <c r="P16" s="2">
        <v>46143</v>
      </c>
      <c r="Q16" s="2">
        <v>46174</v>
      </c>
      <c r="R16" s="2">
        <v>46204</v>
      </c>
      <c r="S16" s="2">
        <v>46235</v>
      </c>
      <c r="T16" s="2">
        <v>46266</v>
      </c>
      <c r="U16" s="2">
        <v>46296</v>
      </c>
      <c r="V16" s="2">
        <v>46327</v>
      </c>
      <c r="W16" s="2">
        <v>46357</v>
      </c>
      <c r="X16" t="s">
        <v>73</v>
      </c>
      <c r="AB16" s="2">
        <v>46143</v>
      </c>
      <c r="AC16">
        <v>5.9534785459740253E-2</v>
      </c>
      <c r="AD16">
        <v>0.4116347854597403</v>
      </c>
      <c r="AH16" s="2">
        <v>46143</v>
      </c>
      <c r="AI16">
        <v>4.5209984251049933E-2</v>
      </c>
      <c r="AJ16">
        <v>0.44790998425104989</v>
      </c>
      <c r="AN16" s="2">
        <v>46143</v>
      </c>
      <c r="AO16">
        <v>7.6596812791951116E-2</v>
      </c>
      <c r="AP16">
        <v>0.35239681279195112</v>
      </c>
      <c r="AT16" s="2">
        <v>46143</v>
      </c>
      <c r="AU16">
        <v>6.2827060439560448E-2</v>
      </c>
      <c r="AV16">
        <v>0.33172706043956041</v>
      </c>
      <c r="AZ16" s="2">
        <v>46143</v>
      </c>
      <c r="BA16">
        <v>6.0100000000000001E-2</v>
      </c>
      <c r="BB16">
        <v>0.45850000000000002</v>
      </c>
    </row>
    <row r="17" spans="1:54" ht="21.75" customHeight="1" x14ac:dyDescent="0.3">
      <c r="A17" t="s">
        <v>69</v>
      </c>
      <c r="B17" t="s">
        <v>74</v>
      </c>
      <c r="C17">
        <v>3.8999999999999998E-3</v>
      </c>
      <c r="D17">
        <v>6.1999999999999998E-3</v>
      </c>
      <c r="E17">
        <v>8.0000000000000002E-3</v>
      </c>
      <c r="F17">
        <v>7.9000000000000008E-3</v>
      </c>
      <c r="G17">
        <v>1.2500000000000001E-2</v>
      </c>
      <c r="H17">
        <v>2.29E-2</v>
      </c>
      <c r="I17">
        <v>2.1999999999999999E-2</v>
      </c>
      <c r="J17">
        <v>2.7199999999999998E-2</v>
      </c>
      <c r="K17">
        <v>2.69E-2</v>
      </c>
      <c r="L17">
        <v>5.45E-2</v>
      </c>
      <c r="M17">
        <v>3.27E-2</v>
      </c>
      <c r="N17">
        <v>2.1299999999999999E-2</v>
      </c>
      <c r="O17">
        <v>2.98E-2</v>
      </c>
      <c r="P17">
        <v>7.6596812791951116E-2</v>
      </c>
      <c r="Q17">
        <v>9.0968200862378737E-2</v>
      </c>
      <c r="R17">
        <v>8.9433611210923455E-2</v>
      </c>
      <c r="S17">
        <v>9.1854933165648592E-2</v>
      </c>
      <c r="T17">
        <v>9.6182098095580315E-2</v>
      </c>
      <c r="U17">
        <v>9.144215918074021E-2</v>
      </c>
      <c r="V17">
        <v>8.8060282069708951E-2</v>
      </c>
      <c r="W17">
        <v>9.9633911606180375E-2</v>
      </c>
      <c r="X17">
        <v>0.99997200898311178</v>
      </c>
      <c r="AB17" s="2">
        <v>46174</v>
      </c>
      <c r="AC17">
        <v>7.0314002069634382E-2</v>
      </c>
      <c r="AD17">
        <v>0.4819487875293747</v>
      </c>
      <c r="AH17" s="2">
        <v>46174</v>
      </c>
      <c r="AI17">
        <v>5.8723647340177321E-2</v>
      </c>
      <c r="AJ17">
        <v>0.50663363159122721</v>
      </c>
      <c r="AN17" s="2">
        <v>46174</v>
      </c>
      <c r="AO17">
        <v>9.0968200862378737E-2</v>
      </c>
      <c r="AP17">
        <v>0.44336501365432979</v>
      </c>
      <c r="AT17" s="2">
        <v>46174</v>
      </c>
      <c r="AU17">
        <v>9.3548540031397176E-2</v>
      </c>
      <c r="AV17">
        <v>0.42527560047095758</v>
      </c>
      <c r="AZ17" s="2">
        <v>46174</v>
      </c>
      <c r="BA17">
        <v>7.7100000000000002E-2</v>
      </c>
      <c r="BB17">
        <v>0.53559999999999997</v>
      </c>
    </row>
    <row r="18" spans="1:54" ht="21.75" customHeight="1" x14ac:dyDescent="0.3">
      <c r="A18" t="s">
        <v>69</v>
      </c>
      <c r="B18" t="s">
        <v>75</v>
      </c>
      <c r="C18">
        <v>3.8999999999999998E-3</v>
      </c>
      <c r="D18">
        <v>1.01E-2</v>
      </c>
      <c r="E18">
        <v>1.8100000000000002E-2</v>
      </c>
      <c r="F18">
        <v>2.5999999999999999E-2</v>
      </c>
      <c r="G18">
        <v>3.85E-2</v>
      </c>
      <c r="H18">
        <v>6.1400000000000003E-2</v>
      </c>
      <c r="I18">
        <v>8.3400000000000002E-2</v>
      </c>
      <c r="J18">
        <v>0.1106</v>
      </c>
      <c r="K18">
        <v>0.13750000000000001</v>
      </c>
      <c r="L18">
        <v>0.192</v>
      </c>
      <c r="M18">
        <v>0.22470000000000001</v>
      </c>
      <c r="N18">
        <v>0.246</v>
      </c>
      <c r="O18">
        <v>0.27579999999999999</v>
      </c>
      <c r="P18">
        <v>0.35239681279195112</v>
      </c>
      <c r="Q18">
        <v>0.44336501365432979</v>
      </c>
      <c r="R18">
        <v>0.53279862486525331</v>
      </c>
      <c r="S18">
        <v>0.62465355803090195</v>
      </c>
      <c r="T18">
        <v>0.72083565612648226</v>
      </c>
      <c r="U18">
        <v>0.81227781530722243</v>
      </c>
      <c r="V18">
        <v>0.90033809737693138</v>
      </c>
      <c r="W18">
        <v>0.99997200898311178</v>
      </c>
      <c r="AB18" s="2">
        <v>46204</v>
      </c>
      <c r="AC18">
        <v>7.9217427155394898E-2</v>
      </c>
      <c r="AD18">
        <v>0.56116621468476957</v>
      </c>
      <c r="AH18" s="2">
        <v>46204</v>
      </c>
      <c r="AI18">
        <v>8.0306391157256185E-2</v>
      </c>
      <c r="AJ18">
        <v>0.58694002274848334</v>
      </c>
      <c r="AN18" s="2">
        <v>46204</v>
      </c>
      <c r="AO18">
        <v>8.9433611210923455E-2</v>
      </c>
      <c r="AP18">
        <v>0.53279862486525331</v>
      </c>
      <c r="AT18" s="2">
        <v>46204</v>
      </c>
      <c r="AU18">
        <v>7.5222397959183673E-2</v>
      </c>
      <c r="AV18">
        <v>0.5004979984301412</v>
      </c>
      <c r="AZ18" s="2">
        <v>46204</v>
      </c>
      <c r="BA18">
        <v>3.8300000000000001E-2</v>
      </c>
      <c r="BB18">
        <v>0.57389999999999997</v>
      </c>
    </row>
    <row r="19" spans="1:54" ht="21.75" customHeight="1" x14ac:dyDescent="0.3">
      <c r="A19" t="s">
        <v>69</v>
      </c>
      <c r="B19" t="s">
        <v>76</v>
      </c>
      <c r="C19">
        <v>3.8999999999999998E-3</v>
      </c>
      <c r="D19">
        <v>8.3000000000000018E-3</v>
      </c>
      <c r="E19">
        <v>7.899999999999999E-3</v>
      </c>
      <c r="F19">
        <v>1.6199999999999999E-2</v>
      </c>
      <c r="G19">
        <v>1.66E-2</v>
      </c>
      <c r="H19">
        <v>2.4799999999999999E-2</v>
      </c>
      <c r="I19">
        <v>2.0199999999999999E-2</v>
      </c>
      <c r="J19">
        <v>1.9800000000000002E-2</v>
      </c>
      <c r="K19">
        <v>1.519999999999999E-2</v>
      </c>
      <c r="L19">
        <v>5.9200000000000003E-2</v>
      </c>
      <c r="M19">
        <v>3.5547406427021172E-2</v>
      </c>
      <c r="N19">
        <v>2.46996992172476E-2</v>
      </c>
      <c r="O19">
        <v>2.7221149273158499E-2</v>
      </c>
      <c r="AB19" s="2">
        <v>46235</v>
      </c>
      <c r="AC19">
        <v>7.553021273566432E-2</v>
      </c>
      <c r="AD19">
        <v>0.63669642742043386</v>
      </c>
      <c r="AH19" s="2">
        <v>46235</v>
      </c>
      <c r="AI19">
        <v>0.1044428820578628</v>
      </c>
      <c r="AJ19">
        <v>0.69138290480634612</v>
      </c>
      <c r="AN19" s="2">
        <v>46235</v>
      </c>
      <c r="AO19">
        <v>9.1854933165648592E-2</v>
      </c>
      <c r="AP19">
        <v>0.62465355803090195</v>
      </c>
      <c r="AT19" s="2">
        <v>46235</v>
      </c>
      <c r="AU19">
        <v>0.1295133437990581</v>
      </c>
      <c r="AV19">
        <v>0.6300113422291993</v>
      </c>
      <c r="AZ19" s="2">
        <v>46235</v>
      </c>
      <c r="BA19">
        <v>3.7100000000000001E-2</v>
      </c>
      <c r="BB19">
        <v>0.61099999999999999</v>
      </c>
    </row>
    <row r="20" spans="1:54" ht="21.75" customHeight="1" x14ac:dyDescent="0.3">
      <c r="A20" t="s">
        <v>69</v>
      </c>
      <c r="B20" t="s">
        <v>77</v>
      </c>
      <c r="C20">
        <v>3.8999999999999998E-3</v>
      </c>
      <c r="D20">
        <v>1.2200000000000001E-2</v>
      </c>
      <c r="E20">
        <v>2.01E-2</v>
      </c>
      <c r="F20">
        <v>3.6299999999999999E-2</v>
      </c>
      <c r="G20">
        <v>5.2900000000000003E-2</v>
      </c>
      <c r="H20">
        <v>7.7700000000000005E-2</v>
      </c>
      <c r="I20">
        <v>9.7900000000000001E-2</v>
      </c>
      <c r="J20">
        <v>0.1177</v>
      </c>
      <c r="K20">
        <v>0.13289999999999999</v>
      </c>
      <c r="L20">
        <v>0.19209999999999999</v>
      </c>
      <c r="M20">
        <v>0.22764740642702119</v>
      </c>
      <c r="N20">
        <v>0.25234710564426882</v>
      </c>
      <c r="O20">
        <v>0.27956825491742732</v>
      </c>
      <c r="AB20" s="2">
        <v>46266</v>
      </c>
      <c r="AC20">
        <v>0.1295319372971161</v>
      </c>
      <c r="AD20">
        <v>0.76622836471754996</v>
      </c>
      <c r="AH20" s="2">
        <v>46266</v>
      </c>
      <c r="AI20">
        <v>0.1397438888240784</v>
      </c>
      <c r="AJ20">
        <v>0.83112679363042452</v>
      </c>
      <c r="AN20" s="2">
        <v>46266</v>
      </c>
      <c r="AO20">
        <v>9.6182098095580315E-2</v>
      </c>
      <c r="AP20">
        <v>0.72083565612648226</v>
      </c>
      <c r="AT20" s="2">
        <v>46266</v>
      </c>
      <c r="AU20">
        <v>0.21687598116169551</v>
      </c>
      <c r="AV20">
        <v>0.84688732339089479</v>
      </c>
      <c r="AZ20" s="2">
        <v>46266</v>
      </c>
      <c r="BA20">
        <v>0.18479999999999999</v>
      </c>
      <c r="BB20">
        <v>0.79579999999999995</v>
      </c>
    </row>
    <row r="21" spans="1:54" ht="21.75" customHeight="1" x14ac:dyDescent="0.3">
      <c r="AB21" s="2">
        <v>46296</v>
      </c>
      <c r="AC21">
        <v>7.9063006046898629E-2</v>
      </c>
      <c r="AD21">
        <v>0.8452913707644486</v>
      </c>
      <c r="AH21" s="2">
        <v>46296</v>
      </c>
      <c r="AI21">
        <v>9.057862809146057E-2</v>
      </c>
      <c r="AJ21">
        <v>0.92170542172188508</v>
      </c>
      <c r="AN21" s="2">
        <v>46296</v>
      </c>
      <c r="AO21">
        <v>9.144215918074021E-2</v>
      </c>
      <c r="AP21">
        <v>0.81227781530722243</v>
      </c>
      <c r="AT21" s="2">
        <v>46296</v>
      </c>
      <c r="AU21">
        <v>0.15315122448979601</v>
      </c>
      <c r="AV21">
        <v>1.000038547880691</v>
      </c>
      <c r="AZ21" s="2">
        <v>46296</v>
      </c>
      <c r="BA21">
        <v>9.3600000000000003E-2</v>
      </c>
      <c r="BB21">
        <v>0.88939999999999997</v>
      </c>
    </row>
    <row r="22" spans="1:54" ht="21.75" customHeight="1" x14ac:dyDescent="0.3">
      <c r="AB22" s="2">
        <v>46327</v>
      </c>
      <c r="AC22">
        <v>7.7601784146798761E-2</v>
      </c>
      <c r="AD22">
        <v>0.92289315491124735</v>
      </c>
      <c r="AH22" s="2">
        <v>46327</v>
      </c>
      <c r="AI22">
        <v>7.8329444703686427E-2</v>
      </c>
      <c r="AJ22">
        <v>1.000034866425572</v>
      </c>
      <c r="AN22" s="2">
        <v>46327</v>
      </c>
      <c r="AO22">
        <v>8.8060282069708951E-2</v>
      </c>
      <c r="AP22">
        <v>0.90033809737693138</v>
      </c>
      <c r="AT22" s="2">
        <v>46327</v>
      </c>
      <c r="AZ22" s="2">
        <v>46327</v>
      </c>
      <c r="BA22">
        <v>8.5099999999999995E-2</v>
      </c>
      <c r="BB22">
        <v>0.97449999999999992</v>
      </c>
    </row>
    <row r="23" spans="1:54" ht="21.75" customHeight="1" x14ac:dyDescent="0.3">
      <c r="A23" t="s">
        <v>70</v>
      </c>
      <c r="B23" t="s">
        <v>72</v>
      </c>
      <c r="E23" s="2">
        <v>45809</v>
      </c>
      <c r="F23" s="2">
        <v>45839</v>
      </c>
      <c r="G23" s="2">
        <v>45870</v>
      </c>
      <c r="H23" s="2">
        <v>45901</v>
      </c>
      <c r="I23" s="2">
        <v>45931</v>
      </c>
      <c r="J23" s="2">
        <v>45962</v>
      </c>
      <c r="K23" s="2">
        <v>45992</v>
      </c>
      <c r="L23" s="2">
        <v>46023</v>
      </c>
      <c r="M23" s="2">
        <v>46054</v>
      </c>
      <c r="N23" s="2">
        <v>46082</v>
      </c>
      <c r="O23" s="2">
        <v>46113</v>
      </c>
      <c r="P23" s="2">
        <v>46143</v>
      </c>
      <c r="Q23" s="2">
        <v>46174</v>
      </c>
      <c r="R23" s="2">
        <v>46204</v>
      </c>
      <c r="S23" s="2">
        <v>46235</v>
      </c>
      <c r="T23" s="2">
        <v>46266</v>
      </c>
      <c r="U23" s="2">
        <v>46296</v>
      </c>
      <c r="V23" s="2">
        <v>46327</v>
      </c>
      <c r="W23" s="2">
        <v>46357</v>
      </c>
      <c r="X23" t="s">
        <v>73</v>
      </c>
      <c r="AB23" s="2">
        <v>46357</v>
      </c>
      <c r="AC23">
        <v>7.7088541045253936E-2</v>
      </c>
      <c r="AD23">
        <v>0.99998169595650133</v>
      </c>
      <c r="AH23" s="2">
        <v>46357</v>
      </c>
      <c r="AN23" s="2">
        <v>46357</v>
      </c>
      <c r="AO23">
        <v>9.9633911606180375E-2</v>
      </c>
      <c r="AP23">
        <v>0.99997200898311178</v>
      </c>
      <c r="AT23" s="2">
        <v>46357</v>
      </c>
      <c r="AZ23" s="2">
        <v>46357</v>
      </c>
      <c r="BA23">
        <v>2.5499999999999998E-2</v>
      </c>
      <c r="BB23">
        <v>0.99999999999999989</v>
      </c>
    </row>
    <row r="24" spans="1:54" ht="21.75" customHeight="1" x14ac:dyDescent="0.3">
      <c r="A24" t="s">
        <v>70</v>
      </c>
      <c r="B24" t="s">
        <v>74</v>
      </c>
      <c r="E24">
        <v>1.77E-2</v>
      </c>
      <c r="F24">
        <v>3.9199999999999999E-2</v>
      </c>
      <c r="G24">
        <v>3.2000000000000002E-3</v>
      </c>
      <c r="H24">
        <v>6.1999999999999998E-3</v>
      </c>
      <c r="I24">
        <v>9.2999999999999992E-3</v>
      </c>
      <c r="J24">
        <v>7.7000000000000002E-3</v>
      </c>
      <c r="K24">
        <v>2.5700000000000001E-2</v>
      </c>
      <c r="L24">
        <v>3.6799999999999999E-2</v>
      </c>
      <c r="M24">
        <v>2.3E-2</v>
      </c>
      <c r="N24">
        <v>6.6500000000000004E-2</v>
      </c>
      <c r="O24">
        <v>3.3599999999999998E-2</v>
      </c>
      <c r="P24">
        <v>6.2827060439560448E-2</v>
      </c>
      <c r="Q24">
        <v>9.3548540031397176E-2</v>
      </c>
      <c r="R24">
        <v>7.5222397959183673E-2</v>
      </c>
      <c r="S24">
        <v>0.1295133437990581</v>
      </c>
      <c r="T24">
        <v>0.21687598116169551</v>
      </c>
      <c r="U24">
        <v>0.15315122448979601</v>
      </c>
      <c r="X24">
        <v>1.000038547880691</v>
      </c>
    </row>
    <row r="25" spans="1:54" ht="21.75" customHeight="1" x14ac:dyDescent="0.3">
      <c r="A25" t="s">
        <v>70</v>
      </c>
      <c r="B25" t="s">
        <v>75</v>
      </c>
      <c r="E25">
        <v>1.77E-2</v>
      </c>
      <c r="F25">
        <v>5.6899999999999999E-2</v>
      </c>
      <c r="G25">
        <v>6.0100000000000001E-2</v>
      </c>
      <c r="H25">
        <v>6.6299999999999998E-2</v>
      </c>
      <c r="I25">
        <v>7.5600000000000001E-2</v>
      </c>
      <c r="J25">
        <v>8.3299999999999999E-2</v>
      </c>
      <c r="K25">
        <v>0.109</v>
      </c>
      <c r="L25">
        <v>0.14580000000000001</v>
      </c>
      <c r="M25">
        <v>0.16880000000000001</v>
      </c>
      <c r="N25">
        <v>0.23530000000000001</v>
      </c>
      <c r="O25">
        <v>0.26889999999999997</v>
      </c>
      <c r="P25">
        <v>0.33172706043956041</v>
      </c>
      <c r="Q25">
        <v>0.42527560047095758</v>
      </c>
      <c r="R25">
        <v>0.5004979984301412</v>
      </c>
      <c r="S25">
        <v>0.6300113422291993</v>
      </c>
      <c r="T25">
        <v>0.84688732339089479</v>
      </c>
      <c r="U25">
        <v>1.000038547880691</v>
      </c>
    </row>
    <row r="26" spans="1:54" ht="21.75" customHeight="1" x14ac:dyDescent="0.3">
      <c r="A26" t="s">
        <v>70</v>
      </c>
      <c r="B26" t="s">
        <v>76</v>
      </c>
      <c r="E26">
        <v>1.5599999999999999E-2</v>
      </c>
      <c r="F26">
        <v>4.3899999999999988E-2</v>
      </c>
      <c r="G26">
        <v>8.0000000000000071E-3</v>
      </c>
      <c r="H26">
        <v>4.2999999999999983E-3</v>
      </c>
      <c r="I26">
        <v>1.279999999999999E-2</v>
      </c>
      <c r="J26">
        <v>1.37E-2</v>
      </c>
      <c r="K26">
        <v>1.9900000000000001E-2</v>
      </c>
      <c r="L26">
        <v>3.9600000000000003E-2</v>
      </c>
      <c r="M26">
        <v>3.6739815811616887E-2</v>
      </c>
      <c r="N26">
        <v>5.0079384678178962E-2</v>
      </c>
      <c r="O26">
        <v>2.8015876935635842E-2</v>
      </c>
    </row>
    <row r="27" spans="1:54" ht="21.75" customHeight="1" x14ac:dyDescent="0.3">
      <c r="A27" t="s">
        <v>70</v>
      </c>
      <c r="B27" t="s">
        <v>77</v>
      </c>
      <c r="E27">
        <v>1.5599999999999999E-2</v>
      </c>
      <c r="F27">
        <v>5.9499999999999997E-2</v>
      </c>
      <c r="G27">
        <v>6.7500000000000004E-2</v>
      </c>
      <c r="H27">
        <v>7.1800000000000003E-2</v>
      </c>
      <c r="I27">
        <v>8.4599999999999995E-2</v>
      </c>
      <c r="J27">
        <v>9.8299999999999998E-2</v>
      </c>
      <c r="K27">
        <v>0.1182</v>
      </c>
      <c r="L27">
        <v>0.1578</v>
      </c>
      <c r="M27">
        <v>0.19453981581161689</v>
      </c>
      <c r="N27">
        <v>0.24461920048979591</v>
      </c>
      <c r="O27">
        <v>0.27263507742543169</v>
      </c>
    </row>
    <row r="30" spans="1:54" ht="21.75" customHeight="1" x14ac:dyDescent="0.3">
      <c r="A30" t="s">
        <v>71</v>
      </c>
      <c r="B30" t="s">
        <v>72</v>
      </c>
      <c r="C30" s="2">
        <v>45748</v>
      </c>
      <c r="D30" s="2">
        <v>45778</v>
      </c>
      <c r="E30" s="2">
        <v>45809</v>
      </c>
      <c r="F30" s="2">
        <v>45839</v>
      </c>
      <c r="G30" s="2">
        <v>45870</v>
      </c>
      <c r="H30" s="2">
        <v>45901</v>
      </c>
      <c r="I30" s="2">
        <v>45931</v>
      </c>
      <c r="J30" s="2">
        <v>45962</v>
      </c>
      <c r="K30" s="2">
        <v>45992</v>
      </c>
      <c r="L30" s="2">
        <v>46023</v>
      </c>
      <c r="M30" s="2">
        <v>46054</v>
      </c>
      <c r="N30" s="2">
        <v>46082</v>
      </c>
      <c r="O30" s="2">
        <v>46113</v>
      </c>
      <c r="P30" s="2">
        <v>46143</v>
      </c>
      <c r="Q30" s="2">
        <v>46174</v>
      </c>
      <c r="R30" s="2">
        <v>46204</v>
      </c>
      <c r="S30" s="2">
        <v>46235</v>
      </c>
      <c r="T30" s="2">
        <v>46266</v>
      </c>
      <c r="U30" s="2">
        <v>46296</v>
      </c>
      <c r="V30" s="2">
        <v>46327</v>
      </c>
      <c r="W30" s="2">
        <v>46357</v>
      </c>
    </row>
    <row r="31" spans="1:54" ht="21.75" customHeight="1" x14ac:dyDescent="0.3">
      <c r="A31" t="s">
        <v>71</v>
      </c>
      <c r="B31" t="s">
        <v>74</v>
      </c>
      <c r="G31">
        <v>1.9800000000000002E-2</v>
      </c>
      <c r="H31">
        <v>1.6199999999999999E-2</v>
      </c>
      <c r="I31">
        <v>4.0399999999999998E-2</v>
      </c>
      <c r="J31">
        <v>4.19E-2</v>
      </c>
      <c r="K31">
        <v>4.3799999999999999E-2</v>
      </c>
      <c r="L31">
        <v>6.0100000000000001E-2</v>
      </c>
      <c r="M31">
        <v>5.5899999999999998E-2</v>
      </c>
      <c r="N31">
        <v>6.2700000000000006E-2</v>
      </c>
      <c r="O31">
        <v>5.7599999999999998E-2</v>
      </c>
      <c r="P31">
        <v>6.0100000000000001E-2</v>
      </c>
      <c r="Q31">
        <v>7.7100000000000002E-2</v>
      </c>
      <c r="R31">
        <v>3.8300000000000001E-2</v>
      </c>
      <c r="S31">
        <v>3.7100000000000001E-2</v>
      </c>
      <c r="T31">
        <v>0.18479999999999999</v>
      </c>
      <c r="U31">
        <v>9.3600000000000003E-2</v>
      </c>
      <c r="V31">
        <v>8.5099999999999995E-2</v>
      </c>
      <c r="W31">
        <v>2.5499999999999998E-2</v>
      </c>
    </row>
    <row r="32" spans="1:54" ht="21.75" customHeight="1" x14ac:dyDescent="0.3">
      <c r="A32" t="s">
        <v>71</v>
      </c>
      <c r="B32" t="s">
        <v>75</v>
      </c>
      <c r="G32">
        <v>1.9800000000000002E-2</v>
      </c>
      <c r="H32">
        <v>3.5999999999999997E-2</v>
      </c>
      <c r="I32">
        <v>7.6399999999999996E-2</v>
      </c>
      <c r="J32">
        <v>0.1183</v>
      </c>
      <c r="K32">
        <v>0.16209999999999999</v>
      </c>
      <c r="L32">
        <v>0.22220000000000001</v>
      </c>
      <c r="M32">
        <v>0.27810000000000001</v>
      </c>
      <c r="N32">
        <v>0.34079999999999999</v>
      </c>
      <c r="O32">
        <v>0.39839999999999998</v>
      </c>
      <c r="P32">
        <v>0.45850000000000002</v>
      </c>
      <c r="Q32">
        <v>0.53559999999999997</v>
      </c>
      <c r="R32">
        <v>0.57389999999999997</v>
      </c>
      <c r="S32">
        <v>0.61099999999999999</v>
      </c>
      <c r="T32">
        <v>0.79579999999999995</v>
      </c>
      <c r="U32">
        <v>0.88939999999999997</v>
      </c>
      <c r="V32">
        <v>0.97449999999999992</v>
      </c>
      <c r="W32">
        <v>0.99999999999999989</v>
      </c>
    </row>
    <row r="33" spans="1:12" ht="21.75" customHeight="1" x14ac:dyDescent="0.3">
      <c r="A33" t="s">
        <v>71</v>
      </c>
      <c r="B33" t="s">
        <v>76</v>
      </c>
      <c r="G33">
        <v>3.5000000000000003E-2</v>
      </c>
      <c r="H33">
        <v>5.9999999999999984E-3</v>
      </c>
      <c r="I33">
        <v>4.2900000000000001E-2</v>
      </c>
      <c r="J33">
        <v>3.9699999999999999E-2</v>
      </c>
      <c r="K33">
        <v>4.65E-2</v>
      </c>
      <c r="L33">
        <v>1.0500000000000009E-2</v>
      </c>
    </row>
    <row r="34" spans="1:12" ht="21.75" customHeight="1" x14ac:dyDescent="0.3">
      <c r="A34" t="s">
        <v>71</v>
      </c>
      <c r="B34" t="s">
        <v>77</v>
      </c>
      <c r="G34">
        <v>3.5000000000000003E-2</v>
      </c>
      <c r="H34">
        <v>4.1000000000000002E-2</v>
      </c>
      <c r="I34">
        <v>8.3900000000000002E-2</v>
      </c>
      <c r="J34">
        <v>0.1236</v>
      </c>
      <c r="K34">
        <v>0.1701</v>
      </c>
      <c r="L34">
        <v>0.18060000000000001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92E8-9018-6909-8F42-1F2105B0F814}">
  <dimension ref="A1:F68"/>
  <sheetViews>
    <sheetView tabSelected="1" workbookViewId="0">
      <pane ySplit="1" topLeftCell="A54" activePane="bottomLeft" state="frozen"/>
      <selection pane="bottomLeft" sqref="A1:F68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  <col min="3" max="3" width="21.5546875" customWidth="1"/>
    <col min="4" max="4" width="18.77734375" customWidth="1"/>
    <col min="5" max="5" width="8.44140625" customWidth="1"/>
    <col min="6" max="6" width="10" customWidth="1"/>
  </cols>
  <sheetData>
    <row r="1" spans="1:6" ht="21.75" customHeight="1" x14ac:dyDescent="0.3">
      <c r="A1" t="s">
        <v>6</v>
      </c>
      <c r="B1" t="s">
        <v>11</v>
      </c>
      <c r="C1" t="s">
        <v>78</v>
      </c>
      <c r="D1" t="s">
        <v>79</v>
      </c>
      <c r="E1" t="s">
        <v>22</v>
      </c>
      <c r="F1" t="s">
        <v>24</v>
      </c>
    </row>
    <row r="2" spans="1:6" ht="21.75" customHeight="1" x14ac:dyDescent="0.3">
      <c r="A2" t="s">
        <v>10</v>
      </c>
      <c r="B2" t="s">
        <v>9</v>
      </c>
      <c r="C2" t="s">
        <v>80</v>
      </c>
      <c r="D2">
        <v>14891</v>
      </c>
      <c r="E2">
        <v>1</v>
      </c>
      <c r="F2" t="s">
        <v>27</v>
      </c>
    </row>
    <row r="3" spans="1:6" ht="21.75" customHeight="1" x14ac:dyDescent="0.3">
      <c r="A3" t="s">
        <v>10</v>
      </c>
      <c r="B3" t="s">
        <v>9</v>
      </c>
      <c r="C3" t="s">
        <v>81</v>
      </c>
      <c r="D3">
        <v>9102</v>
      </c>
      <c r="E3">
        <v>2</v>
      </c>
      <c r="F3" t="s">
        <v>27</v>
      </c>
    </row>
    <row r="4" spans="1:6" ht="21.75" customHeight="1" x14ac:dyDescent="0.3">
      <c r="A4" t="s">
        <v>10</v>
      </c>
      <c r="B4" t="s">
        <v>9</v>
      </c>
      <c r="C4" t="s">
        <v>82</v>
      </c>
      <c r="D4">
        <v>6450</v>
      </c>
      <c r="E4">
        <v>3</v>
      </c>
      <c r="F4" t="s">
        <v>27</v>
      </c>
    </row>
    <row r="5" spans="1:6" ht="21.75" customHeight="1" x14ac:dyDescent="0.3">
      <c r="A5" t="s">
        <v>10</v>
      </c>
      <c r="B5" t="s">
        <v>9</v>
      </c>
      <c r="C5" t="s">
        <v>83</v>
      </c>
      <c r="D5">
        <v>6292</v>
      </c>
      <c r="E5">
        <v>4</v>
      </c>
      <c r="F5" t="s">
        <v>27</v>
      </c>
    </row>
    <row r="6" spans="1:6" ht="21.75" customHeight="1" x14ac:dyDescent="0.3">
      <c r="A6" t="s">
        <v>10</v>
      </c>
      <c r="B6" t="s">
        <v>9</v>
      </c>
      <c r="C6" t="s">
        <v>84</v>
      </c>
      <c r="D6">
        <v>5789</v>
      </c>
      <c r="E6">
        <v>5</v>
      </c>
      <c r="F6" t="s">
        <v>27</v>
      </c>
    </row>
    <row r="7" spans="1:6" ht="21.75" customHeight="1" x14ac:dyDescent="0.3">
      <c r="A7" t="s">
        <v>10</v>
      </c>
      <c r="B7" t="s">
        <v>9</v>
      </c>
      <c r="C7" t="s">
        <v>85</v>
      </c>
      <c r="D7">
        <v>14891</v>
      </c>
      <c r="E7">
        <v>6</v>
      </c>
      <c r="F7" t="s">
        <v>27</v>
      </c>
    </row>
    <row r="8" spans="1:6" ht="21.75" customHeight="1" x14ac:dyDescent="0.3">
      <c r="A8" t="s">
        <v>10</v>
      </c>
      <c r="B8" t="s">
        <v>9</v>
      </c>
      <c r="C8" t="s">
        <v>86</v>
      </c>
      <c r="D8">
        <v>6659</v>
      </c>
      <c r="E8">
        <v>7</v>
      </c>
      <c r="F8" t="s">
        <v>27</v>
      </c>
    </row>
    <row r="9" spans="1:6" ht="21.75" customHeight="1" x14ac:dyDescent="0.3">
      <c r="A9" t="s">
        <v>10</v>
      </c>
      <c r="B9" t="s">
        <v>9</v>
      </c>
      <c r="C9" t="s">
        <v>87</v>
      </c>
      <c r="D9">
        <v>1401</v>
      </c>
      <c r="E9">
        <v>8</v>
      </c>
      <c r="F9" t="s">
        <v>27</v>
      </c>
    </row>
    <row r="10" spans="1:6" ht="21.75" customHeight="1" x14ac:dyDescent="0.3">
      <c r="A10" t="s">
        <v>10</v>
      </c>
      <c r="B10" t="s">
        <v>9</v>
      </c>
      <c r="C10" t="s">
        <v>88</v>
      </c>
      <c r="D10">
        <v>13651</v>
      </c>
      <c r="E10">
        <v>9</v>
      </c>
      <c r="F10" t="s">
        <v>27</v>
      </c>
    </row>
    <row r="11" spans="1:6" ht="21.75" customHeight="1" x14ac:dyDescent="0.3">
      <c r="A11" t="s">
        <v>16</v>
      </c>
      <c r="B11" t="s">
        <v>17</v>
      </c>
      <c r="C11" t="s">
        <v>80</v>
      </c>
      <c r="D11">
        <v>5480</v>
      </c>
      <c r="E11">
        <v>10</v>
      </c>
      <c r="F11" t="s">
        <v>27</v>
      </c>
    </row>
    <row r="12" spans="1:6" ht="21.75" customHeight="1" x14ac:dyDescent="0.3">
      <c r="A12" t="s">
        <v>16</v>
      </c>
      <c r="B12" t="s">
        <v>17</v>
      </c>
      <c r="C12" t="s">
        <v>81</v>
      </c>
      <c r="D12">
        <v>3665</v>
      </c>
      <c r="E12">
        <v>11</v>
      </c>
      <c r="F12" t="s">
        <v>27</v>
      </c>
    </row>
    <row r="13" spans="1:6" ht="21.75" customHeight="1" x14ac:dyDescent="0.3">
      <c r="A13" t="s">
        <v>16</v>
      </c>
      <c r="B13" t="s">
        <v>17</v>
      </c>
      <c r="C13" t="s">
        <v>82</v>
      </c>
      <c r="D13">
        <v>3306</v>
      </c>
      <c r="E13">
        <v>12</v>
      </c>
      <c r="F13" t="s">
        <v>27</v>
      </c>
    </row>
    <row r="14" spans="1:6" ht="21.75" customHeight="1" x14ac:dyDescent="0.3">
      <c r="A14" t="s">
        <v>16</v>
      </c>
      <c r="B14" t="s">
        <v>17</v>
      </c>
      <c r="C14" t="s">
        <v>83</v>
      </c>
      <c r="D14">
        <v>2781</v>
      </c>
      <c r="E14">
        <v>13</v>
      </c>
      <c r="F14" t="s">
        <v>27</v>
      </c>
    </row>
    <row r="15" spans="1:6" ht="21.75" customHeight="1" x14ac:dyDescent="0.3">
      <c r="A15" t="s">
        <v>16</v>
      </c>
      <c r="B15" t="s">
        <v>17</v>
      </c>
      <c r="C15" t="s">
        <v>84</v>
      </c>
      <c r="D15">
        <v>2156.99248813431</v>
      </c>
      <c r="E15">
        <v>14</v>
      </c>
      <c r="F15" t="s">
        <v>27</v>
      </c>
    </row>
    <row r="16" spans="1:6" ht="21.75" customHeight="1" x14ac:dyDescent="0.3">
      <c r="A16" t="s">
        <v>16</v>
      </c>
      <c r="B16" t="s">
        <v>17</v>
      </c>
      <c r="C16" t="s">
        <v>85</v>
      </c>
      <c r="D16">
        <v>5821.9924881343104</v>
      </c>
      <c r="E16">
        <v>15</v>
      </c>
      <c r="F16" t="s">
        <v>27</v>
      </c>
    </row>
    <row r="17" spans="1:6" ht="21.75" customHeight="1" x14ac:dyDescent="0.3">
      <c r="A17" t="s">
        <v>12</v>
      </c>
      <c r="B17" t="s">
        <v>13</v>
      </c>
      <c r="C17" t="s">
        <v>80</v>
      </c>
      <c r="D17">
        <v>3110</v>
      </c>
      <c r="E17">
        <v>16</v>
      </c>
      <c r="F17" t="s">
        <v>27</v>
      </c>
    </row>
    <row r="18" spans="1:6" ht="21.75" customHeight="1" x14ac:dyDescent="0.3">
      <c r="A18" t="s">
        <v>12</v>
      </c>
      <c r="B18" t="s">
        <v>13</v>
      </c>
      <c r="C18" t="s">
        <v>81</v>
      </c>
      <c r="D18">
        <v>1901</v>
      </c>
      <c r="E18">
        <v>17</v>
      </c>
      <c r="F18" t="s">
        <v>27</v>
      </c>
    </row>
    <row r="19" spans="1:6" ht="21.75" customHeight="1" x14ac:dyDescent="0.3">
      <c r="A19" t="s">
        <v>12</v>
      </c>
      <c r="B19" t="s">
        <v>13</v>
      </c>
      <c r="C19" t="s">
        <v>82</v>
      </c>
      <c r="D19">
        <v>1497</v>
      </c>
      <c r="E19">
        <v>18</v>
      </c>
      <c r="F19" t="s">
        <v>27</v>
      </c>
    </row>
    <row r="20" spans="1:6" ht="21.75" customHeight="1" x14ac:dyDescent="0.3">
      <c r="A20" t="s">
        <v>12</v>
      </c>
      <c r="B20" t="s">
        <v>13</v>
      </c>
      <c r="C20" t="s">
        <v>83</v>
      </c>
      <c r="D20">
        <v>1497</v>
      </c>
      <c r="E20">
        <v>19</v>
      </c>
      <c r="F20" t="s">
        <v>27</v>
      </c>
    </row>
    <row r="21" spans="1:6" ht="21.75" customHeight="1" x14ac:dyDescent="0.3">
      <c r="A21" t="s">
        <v>12</v>
      </c>
      <c r="B21" t="s">
        <v>13</v>
      </c>
      <c r="C21" t="s">
        <v>84</v>
      </c>
      <c r="D21">
        <v>940</v>
      </c>
      <c r="E21">
        <v>20</v>
      </c>
      <c r="F21" t="s">
        <v>27</v>
      </c>
    </row>
    <row r="22" spans="1:6" ht="21.75" customHeight="1" x14ac:dyDescent="0.3">
      <c r="A22" t="s">
        <v>12</v>
      </c>
      <c r="B22" t="s">
        <v>13</v>
      </c>
      <c r="C22" t="s">
        <v>85</v>
      </c>
      <c r="D22">
        <v>2841</v>
      </c>
      <c r="E22">
        <v>21</v>
      </c>
      <c r="F22" t="s">
        <v>27</v>
      </c>
    </row>
    <row r="23" spans="1:6" ht="21.75" customHeight="1" x14ac:dyDescent="0.3">
      <c r="A23" t="s">
        <v>14</v>
      </c>
      <c r="B23" t="s">
        <v>15</v>
      </c>
      <c r="C23" t="s">
        <v>80</v>
      </c>
      <c r="D23">
        <v>490</v>
      </c>
      <c r="E23">
        <v>22</v>
      </c>
      <c r="F23" t="s">
        <v>27</v>
      </c>
    </row>
    <row r="24" spans="1:6" ht="21.75" customHeight="1" x14ac:dyDescent="0.3">
      <c r="A24" t="s">
        <v>14</v>
      </c>
      <c r="B24" t="s">
        <v>15</v>
      </c>
      <c r="C24" t="s">
        <v>81</v>
      </c>
      <c r="D24">
        <v>518</v>
      </c>
      <c r="E24">
        <v>23</v>
      </c>
      <c r="F24" t="s">
        <v>27</v>
      </c>
    </row>
    <row r="25" spans="1:6" ht="21.75" customHeight="1" x14ac:dyDescent="0.3">
      <c r="A25" t="s">
        <v>14</v>
      </c>
      <c r="B25" t="s">
        <v>15</v>
      </c>
      <c r="C25" t="s">
        <v>82</v>
      </c>
      <c r="D25">
        <v>250</v>
      </c>
      <c r="E25">
        <v>24</v>
      </c>
      <c r="F25" t="s">
        <v>27</v>
      </c>
    </row>
    <row r="26" spans="1:6" ht="21.75" customHeight="1" x14ac:dyDescent="0.3">
      <c r="A26" t="s">
        <v>14</v>
      </c>
      <c r="B26" t="s">
        <v>15</v>
      </c>
      <c r="C26" t="s">
        <v>83</v>
      </c>
      <c r="D26">
        <v>250</v>
      </c>
      <c r="E26">
        <v>25</v>
      </c>
      <c r="F26" t="s">
        <v>27</v>
      </c>
    </row>
    <row r="27" spans="1:6" ht="21.75" customHeight="1" x14ac:dyDescent="0.3">
      <c r="A27" t="s">
        <v>14</v>
      </c>
      <c r="B27" t="s">
        <v>15</v>
      </c>
      <c r="C27" t="s">
        <v>84</v>
      </c>
      <c r="D27">
        <v>0</v>
      </c>
      <c r="E27">
        <v>26</v>
      </c>
      <c r="F27" t="s">
        <v>27</v>
      </c>
    </row>
    <row r="28" spans="1:6" ht="21.75" customHeight="1" x14ac:dyDescent="0.3">
      <c r="A28" t="s">
        <v>14</v>
      </c>
      <c r="B28" t="s">
        <v>15</v>
      </c>
      <c r="C28" t="s">
        <v>85</v>
      </c>
      <c r="D28">
        <v>518</v>
      </c>
      <c r="E28">
        <v>27</v>
      </c>
      <c r="F28" t="s">
        <v>27</v>
      </c>
    </row>
    <row r="29" spans="1:6" ht="21.75" customHeight="1" x14ac:dyDescent="0.3">
      <c r="A29" t="s">
        <v>18</v>
      </c>
      <c r="B29" t="s">
        <v>19</v>
      </c>
      <c r="C29" t="s">
        <v>80</v>
      </c>
      <c r="D29">
        <v>2122</v>
      </c>
      <c r="E29">
        <v>28</v>
      </c>
      <c r="F29" t="s">
        <v>27</v>
      </c>
    </row>
    <row r="30" spans="1:6" ht="21.75" customHeight="1" x14ac:dyDescent="0.3">
      <c r="A30" t="s">
        <v>18</v>
      </c>
      <c r="B30" t="s">
        <v>19</v>
      </c>
      <c r="C30" t="s">
        <v>81</v>
      </c>
      <c r="D30">
        <v>379</v>
      </c>
      <c r="E30">
        <v>29</v>
      </c>
      <c r="F30" t="s">
        <v>27</v>
      </c>
    </row>
    <row r="31" spans="1:6" ht="21.75" customHeight="1" x14ac:dyDescent="0.3">
      <c r="A31" t="s">
        <v>18</v>
      </c>
      <c r="B31" t="s">
        <v>19</v>
      </c>
      <c r="C31" t="s">
        <v>82</v>
      </c>
      <c r="D31">
        <v>198.1</v>
      </c>
      <c r="E31">
        <v>30</v>
      </c>
      <c r="F31" t="s">
        <v>27</v>
      </c>
    </row>
    <row r="32" spans="1:6" ht="21.75" customHeight="1" x14ac:dyDescent="0.3">
      <c r="A32" t="s">
        <v>18</v>
      </c>
      <c r="B32" t="s">
        <v>19</v>
      </c>
      <c r="C32" t="s">
        <v>83</v>
      </c>
      <c r="D32">
        <v>198.1</v>
      </c>
      <c r="E32">
        <v>31</v>
      </c>
      <c r="F32" t="s">
        <v>27</v>
      </c>
    </row>
    <row r="33" spans="1:6" ht="21.75" customHeight="1" x14ac:dyDescent="0.3">
      <c r="A33" t="s">
        <v>18</v>
      </c>
      <c r="B33" t="s">
        <v>19</v>
      </c>
      <c r="C33" t="s">
        <v>84</v>
      </c>
      <c r="D33">
        <v>1743</v>
      </c>
      <c r="E33">
        <v>32</v>
      </c>
      <c r="F33" t="s">
        <v>27</v>
      </c>
    </row>
    <row r="34" spans="1:6" ht="21.75" customHeight="1" x14ac:dyDescent="0.3">
      <c r="A34" t="s">
        <v>18</v>
      </c>
      <c r="B34" t="s">
        <v>19</v>
      </c>
      <c r="C34" t="s">
        <v>85</v>
      </c>
      <c r="D34">
        <v>2122</v>
      </c>
      <c r="E34">
        <v>33</v>
      </c>
      <c r="F34" t="s">
        <v>27</v>
      </c>
    </row>
    <row r="35" spans="1:6" ht="21.75" customHeight="1" x14ac:dyDescent="0.3">
      <c r="E35">
        <v>34</v>
      </c>
    </row>
    <row r="36" spans="1:6" ht="21.75" customHeight="1" x14ac:dyDescent="0.3">
      <c r="A36" t="s">
        <v>10</v>
      </c>
      <c r="B36" t="s">
        <v>9</v>
      </c>
      <c r="C36" t="s">
        <v>80</v>
      </c>
      <c r="D36">
        <v>14891</v>
      </c>
      <c r="E36">
        <v>35</v>
      </c>
      <c r="F36" t="s">
        <v>35</v>
      </c>
    </row>
    <row r="37" spans="1:6" ht="21.75" customHeight="1" x14ac:dyDescent="0.3">
      <c r="A37" t="s">
        <v>10</v>
      </c>
      <c r="B37" t="s">
        <v>9</v>
      </c>
      <c r="C37" t="s">
        <v>89</v>
      </c>
      <c r="D37">
        <v>9102</v>
      </c>
      <c r="E37">
        <v>36</v>
      </c>
      <c r="F37" t="s">
        <v>35</v>
      </c>
    </row>
    <row r="38" spans="1:6" ht="21.75" customHeight="1" x14ac:dyDescent="0.3">
      <c r="A38" t="s">
        <v>10</v>
      </c>
      <c r="B38" t="s">
        <v>9</v>
      </c>
      <c r="C38" t="s">
        <v>90</v>
      </c>
      <c r="D38">
        <v>6450</v>
      </c>
      <c r="E38">
        <v>37</v>
      </c>
      <c r="F38" t="s">
        <v>35</v>
      </c>
    </row>
    <row r="39" spans="1:6" ht="21.75" customHeight="1" x14ac:dyDescent="0.3">
      <c r="A39" t="s">
        <v>10</v>
      </c>
      <c r="B39" t="s">
        <v>9</v>
      </c>
      <c r="C39" t="s">
        <v>91</v>
      </c>
      <c r="D39">
        <v>6292</v>
      </c>
      <c r="E39">
        <v>38</v>
      </c>
      <c r="F39" t="s">
        <v>35</v>
      </c>
    </row>
    <row r="40" spans="1:6" ht="21.75" customHeight="1" x14ac:dyDescent="0.3">
      <c r="A40" t="s">
        <v>10</v>
      </c>
      <c r="B40" t="s">
        <v>9</v>
      </c>
      <c r="C40" t="s">
        <v>92</v>
      </c>
      <c r="D40">
        <v>5789</v>
      </c>
      <c r="E40">
        <v>39</v>
      </c>
      <c r="F40" t="s">
        <v>35</v>
      </c>
    </row>
    <row r="41" spans="1:6" ht="21.75" customHeight="1" x14ac:dyDescent="0.3">
      <c r="A41" t="s">
        <v>10</v>
      </c>
      <c r="B41" t="s">
        <v>9</v>
      </c>
      <c r="C41" t="s">
        <v>93</v>
      </c>
      <c r="D41">
        <v>14891</v>
      </c>
      <c r="E41">
        <v>40</v>
      </c>
      <c r="F41" t="s">
        <v>35</v>
      </c>
    </row>
    <row r="42" spans="1:6" ht="21.75" customHeight="1" x14ac:dyDescent="0.3">
      <c r="A42" t="s">
        <v>10</v>
      </c>
      <c r="B42" t="s">
        <v>9</v>
      </c>
      <c r="C42" t="s">
        <v>94</v>
      </c>
      <c r="D42">
        <v>6659</v>
      </c>
      <c r="E42">
        <v>41</v>
      </c>
      <c r="F42" t="s">
        <v>35</v>
      </c>
    </row>
    <row r="43" spans="1:6" ht="21.75" customHeight="1" x14ac:dyDescent="0.3">
      <c r="A43" t="s">
        <v>10</v>
      </c>
      <c r="B43" t="s">
        <v>9</v>
      </c>
      <c r="C43" t="s">
        <v>95</v>
      </c>
      <c r="D43">
        <v>1401</v>
      </c>
      <c r="E43">
        <v>42</v>
      </c>
      <c r="F43" t="s">
        <v>35</v>
      </c>
    </row>
    <row r="44" spans="1:6" ht="21.75" customHeight="1" x14ac:dyDescent="0.3">
      <c r="A44" t="s">
        <v>10</v>
      </c>
      <c r="B44" t="s">
        <v>9</v>
      </c>
      <c r="C44" t="s">
        <v>96</v>
      </c>
      <c r="D44">
        <v>13651</v>
      </c>
      <c r="E44">
        <v>43</v>
      </c>
      <c r="F44" t="s">
        <v>35</v>
      </c>
    </row>
    <row r="45" spans="1:6" ht="21.75" customHeight="1" x14ac:dyDescent="0.3">
      <c r="A45" t="s">
        <v>16</v>
      </c>
      <c r="B45" t="s">
        <v>17</v>
      </c>
      <c r="C45" t="s">
        <v>80</v>
      </c>
      <c r="D45">
        <v>5480</v>
      </c>
      <c r="E45">
        <v>44</v>
      </c>
      <c r="F45" t="s">
        <v>35</v>
      </c>
    </row>
    <row r="46" spans="1:6" ht="21.75" customHeight="1" x14ac:dyDescent="0.3">
      <c r="A46" t="s">
        <v>16</v>
      </c>
      <c r="B46" t="s">
        <v>17</v>
      </c>
      <c r="C46" t="s">
        <v>89</v>
      </c>
      <c r="D46">
        <v>3665</v>
      </c>
      <c r="E46">
        <v>45</v>
      </c>
      <c r="F46" t="s">
        <v>35</v>
      </c>
    </row>
    <row r="47" spans="1:6" ht="21.75" customHeight="1" x14ac:dyDescent="0.3">
      <c r="A47" t="s">
        <v>16</v>
      </c>
      <c r="B47" t="s">
        <v>17</v>
      </c>
      <c r="C47" t="s">
        <v>90</v>
      </c>
      <c r="D47">
        <v>3306</v>
      </c>
      <c r="E47">
        <v>46</v>
      </c>
      <c r="F47" t="s">
        <v>35</v>
      </c>
    </row>
    <row r="48" spans="1:6" ht="21.75" customHeight="1" x14ac:dyDescent="0.3">
      <c r="A48" t="s">
        <v>16</v>
      </c>
      <c r="B48" t="s">
        <v>17</v>
      </c>
      <c r="C48" t="s">
        <v>91</v>
      </c>
      <c r="D48">
        <v>2781</v>
      </c>
      <c r="E48">
        <v>47</v>
      </c>
      <c r="F48" t="s">
        <v>35</v>
      </c>
    </row>
    <row r="49" spans="1:6" ht="21.75" customHeight="1" x14ac:dyDescent="0.3">
      <c r="A49" t="s">
        <v>16</v>
      </c>
      <c r="B49" t="s">
        <v>17</v>
      </c>
      <c r="C49" t="s">
        <v>92</v>
      </c>
      <c r="D49">
        <v>2156.99248813431</v>
      </c>
      <c r="E49">
        <v>48</v>
      </c>
      <c r="F49" t="s">
        <v>35</v>
      </c>
    </row>
    <row r="50" spans="1:6" ht="21.75" customHeight="1" x14ac:dyDescent="0.3">
      <c r="A50" t="s">
        <v>16</v>
      </c>
      <c r="B50" t="s">
        <v>17</v>
      </c>
      <c r="C50" t="s">
        <v>93</v>
      </c>
      <c r="D50">
        <v>5821.9924881343104</v>
      </c>
      <c r="E50">
        <v>49</v>
      </c>
      <c r="F50" t="s">
        <v>35</v>
      </c>
    </row>
    <row r="51" spans="1:6" ht="21.75" customHeight="1" x14ac:dyDescent="0.3">
      <c r="A51" t="s">
        <v>12</v>
      </c>
      <c r="B51" t="s">
        <v>13</v>
      </c>
      <c r="C51" t="s">
        <v>80</v>
      </c>
      <c r="D51">
        <v>3110</v>
      </c>
      <c r="E51">
        <v>50</v>
      </c>
      <c r="F51" t="s">
        <v>35</v>
      </c>
    </row>
    <row r="52" spans="1:6" ht="21.75" customHeight="1" x14ac:dyDescent="0.3">
      <c r="A52" t="s">
        <v>12</v>
      </c>
      <c r="B52" t="s">
        <v>13</v>
      </c>
      <c r="C52" t="s">
        <v>89</v>
      </c>
      <c r="D52">
        <v>1901</v>
      </c>
      <c r="E52">
        <v>51</v>
      </c>
      <c r="F52" t="s">
        <v>35</v>
      </c>
    </row>
    <row r="53" spans="1:6" ht="21.75" customHeight="1" x14ac:dyDescent="0.3">
      <c r="A53" t="s">
        <v>12</v>
      </c>
      <c r="B53" t="s">
        <v>13</v>
      </c>
      <c r="C53" t="s">
        <v>90</v>
      </c>
      <c r="D53">
        <v>1497</v>
      </c>
      <c r="E53">
        <v>52</v>
      </c>
      <c r="F53" t="s">
        <v>35</v>
      </c>
    </row>
    <row r="54" spans="1:6" ht="21.75" customHeight="1" x14ac:dyDescent="0.3">
      <c r="A54" t="s">
        <v>12</v>
      </c>
      <c r="B54" t="s">
        <v>13</v>
      </c>
      <c r="C54" t="s">
        <v>91</v>
      </c>
      <c r="D54">
        <v>1497</v>
      </c>
      <c r="E54">
        <v>53</v>
      </c>
      <c r="F54" t="s">
        <v>35</v>
      </c>
    </row>
    <row r="55" spans="1:6" ht="21.75" customHeight="1" x14ac:dyDescent="0.3">
      <c r="A55" t="s">
        <v>12</v>
      </c>
      <c r="B55" t="s">
        <v>13</v>
      </c>
      <c r="C55" t="s">
        <v>92</v>
      </c>
      <c r="D55">
        <v>940</v>
      </c>
      <c r="E55">
        <v>54</v>
      </c>
      <c r="F55" t="s">
        <v>35</v>
      </c>
    </row>
    <row r="56" spans="1:6" ht="21.75" customHeight="1" x14ac:dyDescent="0.3">
      <c r="A56" t="s">
        <v>12</v>
      </c>
      <c r="B56" t="s">
        <v>13</v>
      </c>
      <c r="C56" t="s">
        <v>93</v>
      </c>
      <c r="D56">
        <v>2841</v>
      </c>
      <c r="E56">
        <v>55</v>
      </c>
      <c r="F56" t="s">
        <v>35</v>
      </c>
    </row>
    <row r="57" spans="1:6" ht="21.75" customHeight="1" x14ac:dyDescent="0.3">
      <c r="A57" t="s">
        <v>14</v>
      </c>
      <c r="B57" t="s">
        <v>15</v>
      </c>
      <c r="C57" t="s">
        <v>80</v>
      </c>
      <c r="D57">
        <v>490</v>
      </c>
      <c r="E57">
        <v>56</v>
      </c>
      <c r="F57" t="s">
        <v>35</v>
      </c>
    </row>
    <row r="58" spans="1:6" ht="21.75" customHeight="1" x14ac:dyDescent="0.3">
      <c r="A58" t="s">
        <v>14</v>
      </c>
      <c r="B58" t="s">
        <v>15</v>
      </c>
      <c r="C58" t="s">
        <v>89</v>
      </c>
      <c r="D58">
        <v>518</v>
      </c>
      <c r="E58">
        <v>57</v>
      </c>
      <c r="F58" t="s">
        <v>35</v>
      </c>
    </row>
    <row r="59" spans="1:6" ht="21.75" customHeight="1" x14ac:dyDescent="0.3">
      <c r="A59" t="s">
        <v>14</v>
      </c>
      <c r="B59" t="s">
        <v>15</v>
      </c>
      <c r="C59" t="s">
        <v>90</v>
      </c>
      <c r="D59">
        <v>250</v>
      </c>
      <c r="E59">
        <v>58</v>
      </c>
      <c r="F59" t="s">
        <v>35</v>
      </c>
    </row>
    <row r="60" spans="1:6" ht="21.75" customHeight="1" x14ac:dyDescent="0.3">
      <c r="A60" t="s">
        <v>14</v>
      </c>
      <c r="B60" t="s">
        <v>15</v>
      </c>
      <c r="C60" t="s">
        <v>91</v>
      </c>
      <c r="D60">
        <v>250</v>
      </c>
      <c r="E60">
        <v>59</v>
      </c>
      <c r="F60" t="s">
        <v>35</v>
      </c>
    </row>
    <row r="61" spans="1:6" ht="21.75" customHeight="1" x14ac:dyDescent="0.3">
      <c r="A61" t="s">
        <v>14</v>
      </c>
      <c r="B61" t="s">
        <v>15</v>
      </c>
      <c r="C61" t="s">
        <v>92</v>
      </c>
      <c r="D61">
        <v>0</v>
      </c>
      <c r="E61">
        <v>60</v>
      </c>
      <c r="F61" t="s">
        <v>35</v>
      </c>
    </row>
    <row r="62" spans="1:6" ht="21.75" customHeight="1" x14ac:dyDescent="0.3">
      <c r="A62" t="s">
        <v>14</v>
      </c>
      <c r="B62" t="s">
        <v>15</v>
      </c>
      <c r="C62" t="s">
        <v>93</v>
      </c>
      <c r="D62">
        <v>518</v>
      </c>
      <c r="E62">
        <v>61</v>
      </c>
      <c r="F62" t="s">
        <v>35</v>
      </c>
    </row>
    <row r="63" spans="1:6" ht="21.75" customHeight="1" x14ac:dyDescent="0.3">
      <c r="A63" t="s">
        <v>18</v>
      </c>
      <c r="B63" t="s">
        <v>19</v>
      </c>
      <c r="C63" t="s">
        <v>80</v>
      </c>
      <c r="D63">
        <v>2122</v>
      </c>
      <c r="E63">
        <v>62</v>
      </c>
      <c r="F63" t="s">
        <v>35</v>
      </c>
    </row>
    <row r="64" spans="1:6" ht="21.75" customHeight="1" x14ac:dyDescent="0.3">
      <c r="A64" t="s">
        <v>18</v>
      </c>
      <c r="B64" t="s">
        <v>19</v>
      </c>
      <c r="C64" t="s">
        <v>89</v>
      </c>
      <c r="D64">
        <v>379</v>
      </c>
      <c r="E64">
        <v>63</v>
      </c>
      <c r="F64" t="s">
        <v>35</v>
      </c>
    </row>
    <row r="65" spans="1:6" ht="21.75" customHeight="1" x14ac:dyDescent="0.3">
      <c r="A65" t="s">
        <v>18</v>
      </c>
      <c r="B65" t="s">
        <v>19</v>
      </c>
      <c r="C65" t="s">
        <v>90</v>
      </c>
      <c r="D65">
        <v>198.1</v>
      </c>
      <c r="E65">
        <v>64</v>
      </c>
      <c r="F65" t="s">
        <v>35</v>
      </c>
    </row>
    <row r="66" spans="1:6" ht="21.75" customHeight="1" x14ac:dyDescent="0.3">
      <c r="A66" t="s">
        <v>18</v>
      </c>
      <c r="B66" t="s">
        <v>19</v>
      </c>
      <c r="C66" t="s">
        <v>91</v>
      </c>
      <c r="D66">
        <v>198.1</v>
      </c>
      <c r="E66">
        <v>65</v>
      </c>
      <c r="F66" t="s">
        <v>35</v>
      </c>
    </row>
    <row r="67" spans="1:6" ht="21.75" customHeight="1" x14ac:dyDescent="0.3">
      <c r="A67" t="s">
        <v>18</v>
      </c>
      <c r="B67" t="s">
        <v>19</v>
      </c>
      <c r="C67" t="s">
        <v>92</v>
      </c>
      <c r="D67">
        <v>1743</v>
      </c>
      <c r="E67">
        <v>66</v>
      </c>
      <c r="F67" t="s">
        <v>35</v>
      </c>
    </row>
    <row r="68" spans="1:6" ht="21.75" customHeight="1" x14ac:dyDescent="0.3">
      <c r="A68" t="s">
        <v>18</v>
      </c>
      <c r="B68" t="s">
        <v>19</v>
      </c>
      <c r="C68" t="s">
        <v>93</v>
      </c>
      <c r="D68">
        <v>2122</v>
      </c>
      <c r="E68">
        <v>67</v>
      </c>
      <c r="F68" t="s">
        <v>35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0878-4CC8-1B68-D441-B7DE77323849}">
  <dimension ref="A1:M48"/>
  <sheetViews>
    <sheetView workbookViewId="0">
      <pane ySplit="1" topLeftCell="A38" activePane="bottomLeft" state="frozen"/>
      <selection pane="bottomLeft" activeCell="C55" sqref="C55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  <col min="3" max="3" width="48.5546875" customWidth="1"/>
    <col min="4" max="4" width="12.5546875" customWidth="1"/>
    <col min="5" max="5" width="9.5546875" customWidth="1"/>
    <col min="6" max="7" width="18.33203125" customWidth="1"/>
    <col min="8" max="8" width="14.109375" customWidth="1"/>
    <col min="9" max="9" width="8.44140625" customWidth="1"/>
    <col min="10" max="10" width="16.77734375" customWidth="1"/>
    <col min="11" max="11" width="18.33203125" customWidth="1"/>
    <col min="12" max="12" width="24.109375" customWidth="1"/>
    <col min="13" max="13" width="10" customWidth="1"/>
  </cols>
  <sheetData>
    <row r="1" spans="1:13" ht="21.75" customHeight="1" x14ac:dyDescent="0.3">
      <c r="A1" t="s">
        <v>6</v>
      </c>
      <c r="B1" t="s">
        <v>11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22</v>
      </c>
      <c r="J1" t="s">
        <v>103</v>
      </c>
      <c r="K1" t="s">
        <v>104</v>
      </c>
      <c r="L1" t="s">
        <v>105</v>
      </c>
      <c r="M1" t="s">
        <v>24</v>
      </c>
    </row>
    <row r="2" spans="1:13" ht="21.75" customHeight="1" x14ac:dyDescent="0.3">
      <c r="A2" t="s">
        <v>10</v>
      </c>
      <c r="B2" t="s">
        <v>9</v>
      </c>
      <c r="C2" t="s">
        <v>180</v>
      </c>
      <c r="F2" s="4">
        <v>45755</v>
      </c>
      <c r="G2" s="4">
        <v>45755</v>
      </c>
      <c r="H2">
        <v>1</v>
      </c>
      <c r="I2">
        <v>1</v>
      </c>
      <c r="K2" s="4">
        <v>45755</v>
      </c>
      <c r="L2" t="str">
        <f>IF(AND([1]!Tabela4[[#This Row],[Data Real]]="",[1]!Tabela4[[#This Row],[Data Planejada]]&lt;&gt;"")=TRUE,"🚩","✅")</f>
        <v>✅</v>
      </c>
      <c r="M2" t="s">
        <v>27</v>
      </c>
    </row>
    <row r="3" spans="1:13" ht="21.75" customHeight="1" x14ac:dyDescent="0.3">
      <c r="A3" t="s">
        <v>10</v>
      </c>
      <c r="B3" t="s">
        <v>9</v>
      </c>
      <c r="C3" t="s">
        <v>181</v>
      </c>
      <c r="F3" s="4">
        <v>45838</v>
      </c>
      <c r="G3" s="4">
        <v>45807</v>
      </c>
      <c r="H3">
        <v>1</v>
      </c>
      <c r="I3">
        <v>2</v>
      </c>
      <c r="J3" t="s">
        <v>106</v>
      </c>
      <c r="K3" s="4">
        <v>45838</v>
      </c>
      <c r="L3" t="str">
        <f>IF(AND([1]!Tabela4[[#This Row],[Data Real]]="",[1]!Tabela4[[#This Row],[Data Planejada]]&lt;&gt;"")=TRUE,"🚩","✅")</f>
        <v>✅</v>
      </c>
      <c r="M3" t="s">
        <v>27</v>
      </c>
    </row>
    <row r="4" spans="1:13" ht="21.75" customHeight="1" x14ac:dyDescent="0.3">
      <c r="A4" t="s">
        <v>10</v>
      </c>
      <c r="B4" t="s">
        <v>9</v>
      </c>
      <c r="C4" t="s">
        <v>182</v>
      </c>
      <c r="F4" s="4">
        <v>45838</v>
      </c>
      <c r="G4" s="4">
        <v>45849</v>
      </c>
      <c r="H4">
        <v>1</v>
      </c>
      <c r="I4">
        <v>3</v>
      </c>
      <c r="J4" t="s">
        <v>106</v>
      </c>
      <c r="K4" s="4">
        <v>45838</v>
      </c>
      <c r="L4" t="str">
        <f>IF(AND([1]!Tabela4[[#This Row],[Data Real]]="",[1]!Tabela4[[#This Row],[Data Planejada]]&lt;&gt;"")=TRUE,"🚩","✅")</f>
        <v>✅</v>
      </c>
      <c r="M4" t="s">
        <v>27</v>
      </c>
    </row>
    <row r="5" spans="1:13" ht="21.75" customHeight="1" x14ac:dyDescent="0.3">
      <c r="A5" t="s">
        <v>10</v>
      </c>
      <c r="B5" t="s">
        <v>9</v>
      </c>
      <c r="C5" t="s">
        <v>183</v>
      </c>
      <c r="F5" s="4">
        <v>46059</v>
      </c>
      <c r="G5" s="4">
        <v>46059</v>
      </c>
      <c r="H5">
        <v>1</v>
      </c>
      <c r="I5">
        <v>4</v>
      </c>
      <c r="K5" s="4">
        <v>45960</v>
      </c>
      <c r="L5" t="str">
        <f>IF(AND([1]!Tabela4[[#This Row],[Data Real]]="",[1]!Tabela4[[#This Row],[Data Planejada]]&lt;&gt;"")=TRUE,"🚩","✅")</f>
        <v>✅</v>
      </c>
      <c r="M5" t="s">
        <v>27</v>
      </c>
    </row>
    <row r="6" spans="1:13" ht="21.75" customHeight="1" x14ac:dyDescent="0.3">
      <c r="A6" t="s">
        <v>10</v>
      </c>
      <c r="B6" t="s">
        <v>9</v>
      </c>
      <c r="C6" t="s">
        <v>184</v>
      </c>
      <c r="F6" s="4">
        <v>46010</v>
      </c>
      <c r="G6" s="4">
        <v>46010</v>
      </c>
      <c r="H6">
        <v>1</v>
      </c>
      <c r="I6">
        <v>5</v>
      </c>
      <c r="K6" s="4">
        <v>46003</v>
      </c>
      <c r="L6" t="str">
        <f>IF(AND([1]!Tabela4[[#This Row],[Data Real]]="",[1]!Tabela4[[#This Row],[Data Planejada]]&lt;&gt;"")=TRUE,"🚩","✅")</f>
        <v>✅</v>
      </c>
      <c r="M6" t="s">
        <v>27</v>
      </c>
    </row>
    <row r="7" spans="1:13" ht="21.75" customHeight="1" x14ac:dyDescent="0.3">
      <c r="A7" t="s">
        <v>10</v>
      </c>
      <c r="B7" t="s">
        <v>9</v>
      </c>
      <c r="C7" t="s">
        <v>185</v>
      </c>
      <c r="F7" s="4">
        <v>46172</v>
      </c>
      <c r="G7" s="4"/>
      <c r="I7">
        <v>6</v>
      </c>
      <c r="K7" s="4">
        <v>46127</v>
      </c>
      <c r="L7" t="str">
        <f>IF(AND([1]!Tabela4[[#This Row],[Data Real]]="",[1]!Tabela4[[#This Row],[Data Planejada]]&lt;&gt;"")=TRUE,"🚩","✅")</f>
        <v>🚩</v>
      </c>
      <c r="M7" t="s">
        <v>27</v>
      </c>
    </row>
    <row r="8" spans="1:13" ht="21.75" customHeight="1" x14ac:dyDescent="0.3">
      <c r="A8" t="s">
        <v>10</v>
      </c>
      <c r="B8" t="s">
        <v>9</v>
      </c>
      <c r="C8" t="s">
        <v>186</v>
      </c>
      <c r="F8" s="4">
        <v>46224</v>
      </c>
      <c r="G8" s="4"/>
      <c r="I8">
        <v>7</v>
      </c>
      <c r="J8" t="s">
        <v>106</v>
      </c>
      <c r="K8" s="4">
        <v>46234</v>
      </c>
      <c r="L8" t="str">
        <f>IF(AND([1]!Tabela4[[#This Row],[Data Real]]="",[1]!Tabela4[[#This Row],[Data Planejada]]&lt;&gt;"")=TRUE,"🚩","✅")</f>
        <v>🚩</v>
      </c>
      <c r="M8" t="s">
        <v>27</v>
      </c>
    </row>
    <row r="9" spans="1:13" ht="21.75" customHeight="1" x14ac:dyDescent="0.3">
      <c r="A9" t="s">
        <v>10</v>
      </c>
      <c r="B9" t="s">
        <v>9</v>
      </c>
      <c r="C9" t="s">
        <v>187</v>
      </c>
      <c r="F9" s="4">
        <v>46226</v>
      </c>
      <c r="G9" s="4"/>
      <c r="I9">
        <v>8</v>
      </c>
      <c r="K9" s="4">
        <v>46226</v>
      </c>
      <c r="M9" t="s">
        <v>27</v>
      </c>
    </row>
    <row r="10" spans="1:13" ht="21.75" customHeight="1" x14ac:dyDescent="0.3">
      <c r="A10" t="s">
        <v>10</v>
      </c>
      <c r="B10" t="s">
        <v>9</v>
      </c>
      <c r="C10" t="s">
        <v>188</v>
      </c>
      <c r="F10" s="4">
        <v>46249</v>
      </c>
      <c r="G10" s="4"/>
      <c r="I10">
        <v>9</v>
      </c>
      <c r="K10" s="4">
        <v>46255</v>
      </c>
      <c r="M10" t="s">
        <v>27</v>
      </c>
    </row>
    <row r="11" spans="1:13" ht="21.75" customHeight="1" x14ac:dyDescent="0.3">
      <c r="A11" t="s">
        <v>10</v>
      </c>
      <c r="B11" t="s">
        <v>9</v>
      </c>
      <c r="C11" t="s">
        <v>189</v>
      </c>
      <c r="F11" s="4">
        <v>46249</v>
      </c>
      <c r="G11" s="4"/>
      <c r="I11">
        <v>10</v>
      </c>
      <c r="K11" s="4">
        <v>46177</v>
      </c>
      <c r="M11" t="s">
        <v>27</v>
      </c>
    </row>
    <row r="12" spans="1:13" ht="21.75" customHeight="1" x14ac:dyDescent="0.3">
      <c r="A12" t="s">
        <v>10</v>
      </c>
      <c r="B12" t="s">
        <v>9</v>
      </c>
      <c r="C12" t="s">
        <v>190</v>
      </c>
      <c r="F12" s="4">
        <v>46232</v>
      </c>
      <c r="G12" s="4"/>
      <c r="I12">
        <v>11</v>
      </c>
      <c r="K12" s="4">
        <v>46186</v>
      </c>
      <c r="L12" t="str">
        <f>IF(AND([1]!Tabela4[[#This Row],[Data Real]]="",[1]!Tabela4[[#This Row],[Data Planejada]]&lt;&gt;"")=TRUE,"🚩","✅")</f>
        <v>🚩</v>
      </c>
      <c r="M12" t="s">
        <v>27</v>
      </c>
    </row>
    <row r="13" spans="1:13" ht="21.75" customHeight="1" x14ac:dyDescent="0.3">
      <c r="A13" t="s">
        <v>10</v>
      </c>
      <c r="B13" t="s">
        <v>9</v>
      </c>
      <c r="C13" t="s">
        <v>191</v>
      </c>
      <c r="F13" s="4">
        <v>46162</v>
      </c>
      <c r="G13" s="4"/>
      <c r="I13">
        <v>12</v>
      </c>
      <c r="K13" s="4">
        <v>46150</v>
      </c>
      <c r="L13" t="str">
        <f>IF(AND([1]!Tabela4[[#This Row],[Data Real]]="",[1]!Tabela4[[#This Row],[Data Planejada]]&lt;&gt;"")=TRUE,"🚩","✅")</f>
        <v>🚩</v>
      </c>
      <c r="M13" t="s">
        <v>27</v>
      </c>
    </row>
    <row r="14" spans="1:13" ht="21.75" customHeight="1" x14ac:dyDescent="0.3">
      <c r="A14" t="s">
        <v>10</v>
      </c>
      <c r="B14" t="s">
        <v>9</v>
      </c>
      <c r="C14" t="s">
        <v>192</v>
      </c>
      <c r="F14" s="4">
        <v>46280</v>
      </c>
      <c r="G14" s="4"/>
      <c r="I14">
        <v>13</v>
      </c>
      <c r="J14" t="s">
        <v>106</v>
      </c>
      <c r="K14" s="4">
        <v>46290</v>
      </c>
      <c r="M14" t="s">
        <v>27</v>
      </c>
    </row>
    <row r="15" spans="1:13" ht="21.75" customHeight="1" x14ac:dyDescent="0.3">
      <c r="A15" t="s">
        <v>10</v>
      </c>
      <c r="B15" t="s">
        <v>9</v>
      </c>
      <c r="C15" t="s">
        <v>193</v>
      </c>
      <c r="F15" s="4">
        <v>46366</v>
      </c>
      <c r="G15" s="4"/>
      <c r="I15">
        <v>14</v>
      </c>
      <c r="J15" t="s">
        <v>106</v>
      </c>
      <c r="K15" s="4">
        <v>46366</v>
      </c>
      <c r="M15" t="s">
        <v>27</v>
      </c>
    </row>
    <row r="16" spans="1:13" ht="21.75" customHeight="1" x14ac:dyDescent="0.3">
      <c r="A16" t="s">
        <v>16</v>
      </c>
      <c r="B16" t="s">
        <v>17</v>
      </c>
      <c r="C16" t="s">
        <v>194</v>
      </c>
      <c r="F16" s="4">
        <v>45802</v>
      </c>
      <c r="G16" s="4">
        <v>45794</v>
      </c>
      <c r="H16">
        <v>1</v>
      </c>
      <c r="I16">
        <v>15</v>
      </c>
      <c r="J16" t="s">
        <v>106</v>
      </c>
      <c r="K16" s="4">
        <v>45802</v>
      </c>
      <c r="L16" t="str">
        <f>IF(AND([1]!Tabela4[[#This Row],[Data Real]]="",[1]!Tabela4[[#This Row],[Data Planejada]]&lt;&gt;"")=TRUE,"🚩","✅")</f>
        <v>✅</v>
      </c>
      <c r="M16" t="s">
        <v>27</v>
      </c>
    </row>
    <row r="17" spans="1:13" ht="21.75" customHeight="1" x14ac:dyDescent="0.3">
      <c r="A17" t="s">
        <v>16</v>
      </c>
      <c r="B17" t="s">
        <v>17</v>
      </c>
      <c r="C17" t="s">
        <v>195</v>
      </c>
      <c r="F17" s="4">
        <v>45909</v>
      </c>
      <c r="G17" s="4">
        <v>45909</v>
      </c>
      <c r="H17">
        <v>1</v>
      </c>
      <c r="I17">
        <v>16</v>
      </c>
      <c r="K17" s="4">
        <v>45876</v>
      </c>
      <c r="L17" t="str">
        <f>IF(AND([1]!Tabela4[[#This Row],[Data Real]]="",[1]!Tabela4[[#This Row],[Data Planejada]]&lt;&gt;"")=TRUE,"🚩","✅")</f>
        <v>✅</v>
      </c>
      <c r="M17" t="s">
        <v>27</v>
      </c>
    </row>
    <row r="18" spans="1:13" ht="21.75" customHeight="1" x14ac:dyDescent="0.3">
      <c r="A18" t="s">
        <v>16</v>
      </c>
      <c r="B18" t="s">
        <v>17</v>
      </c>
      <c r="C18" t="s">
        <v>196</v>
      </c>
      <c r="F18" s="4">
        <v>46003</v>
      </c>
      <c r="G18" s="4">
        <v>46003</v>
      </c>
      <c r="H18">
        <v>1</v>
      </c>
      <c r="I18">
        <v>17</v>
      </c>
      <c r="K18" s="4">
        <v>45971</v>
      </c>
      <c r="M18" t="s">
        <v>27</v>
      </c>
    </row>
    <row r="19" spans="1:13" ht="21.75" customHeight="1" x14ac:dyDescent="0.3">
      <c r="A19" t="s">
        <v>16</v>
      </c>
      <c r="B19" t="s">
        <v>17</v>
      </c>
      <c r="C19" t="s">
        <v>184</v>
      </c>
      <c r="F19" s="4">
        <v>46010</v>
      </c>
      <c r="G19" s="4">
        <v>46010</v>
      </c>
      <c r="H19">
        <v>1</v>
      </c>
      <c r="I19">
        <v>18</v>
      </c>
      <c r="K19" s="4">
        <v>46003</v>
      </c>
      <c r="M19" t="s">
        <v>27</v>
      </c>
    </row>
    <row r="20" spans="1:13" ht="21.75" customHeight="1" x14ac:dyDescent="0.3">
      <c r="A20" t="s">
        <v>16</v>
      </c>
      <c r="B20" t="s">
        <v>17</v>
      </c>
      <c r="C20" t="s">
        <v>197</v>
      </c>
      <c r="F20" s="4">
        <v>46073</v>
      </c>
      <c r="G20" s="4">
        <v>46073</v>
      </c>
      <c r="H20">
        <v>1</v>
      </c>
      <c r="I20">
        <v>19</v>
      </c>
      <c r="K20" s="4">
        <v>46073</v>
      </c>
      <c r="M20" t="s">
        <v>27</v>
      </c>
    </row>
    <row r="21" spans="1:13" ht="21.75" customHeight="1" x14ac:dyDescent="0.3">
      <c r="A21" t="s">
        <v>16</v>
      </c>
      <c r="B21" t="s">
        <v>17</v>
      </c>
      <c r="C21" t="s">
        <v>185</v>
      </c>
      <c r="F21" s="4">
        <v>46172</v>
      </c>
      <c r="G21" s="4"/>
      <c r="I21">
        <v>20</v>
      </c>
      <c r="K21" s="4">
        <v>46127</v>
      </c>
      <c r="M21" t="s">
        <v>27</v>
      </c>
    </row>
    <row r="22" spans="1:13" ht="21.75" customHeight="1" x14ac:dyDescent="0.3">
      <c r="A22" t="s">
        <v>16</v>
      </c>
      <c r="B22" t="s">
        <v>17</v>
      </c>
      <c r="C22" t="s">
        <v>198</v>
      </c>
      <c r="F22" s="4">
        <v>46162</v>
      </c>
      <c r="G22" s="4"/>
      <c r="I22">
        <v>21</v>
      </c>
      <c r="K22" s="4">
        <v>46142</v>
      </c>
      <c r="M22" t="s">
        <v>27</v>
      </c>
    </row>
    <row r="23" spans="1:13" ht="21.75" customHeight="1" x14ac:dyDescent="0.3">
      <c r="A23" t="s">
        <v>16</v>
      </c>
      <c r="B23" t="s">
        <v>17</v>
      </c>
      <c r="C23" t="s">
        <v>188</v>
      </c>
      <c r="F23" s="4">
        <v>46172</v>
      </c>
      <c r="G23" s="4"/>
      <c r="I23">
        <v>22</v>
      </c>
      <c r="K23" s="4">
        <v>46172</v>
      </c>
      <c r="M23" t="s">
        <v>27</v>
      </c>
    </row>
    <row r="24" spans="1:13" ht="21.75" customHeight="1" x14ac:dyDescent="0.3">
      <c r="A24" t="s">
        <v>16</v>
      </c>
      <c r="B24" t="s">
        <v>17</v>
      </c>
      <c r="C24" t="s">
        <v>199</v>
      </c>
      <c r="F24" s="4">
        <v>46185</v>
      </c>
      <c r="G24" s="4"/>
      <c r="I24">
        <v>23</v>
      </c>
      <c r="K24" s="4">
        <v>46185</v>
      </c>
      <c r="M24" t="s">
        <v>27</v>
      </c>
    </row>
    <row r="25" spans="1:13" ht="21.75" customHeight="1" x14ac:dyDescent="0.3">
      <c r="A25" t="s">
        <v>16</v>
      </c>
      <c r="B25" t="s">
        <v>17</v>
      </c>
      <c r="C25" t="s">
        <v>200</v>
      </c>
      <c r="F25" s="4">
        <v>46226</v>
      </c>
      <c r="G25" s="4"/>
      <c r="I25">
        <v>24</v>
      </c>
      <c r="K25" s="4">
        <v>46226</v>
      </c>
      <c r="M25" t="s">
        <v>27</v>
      </c>
    </row>
    <row r="26" spans="1:13" ht="21.75" customHeight="1" x14ac:dyDescent="0.3">
      <c r="A26" t="s">
        <v>16</v>
      </c>
      <c r="B26" t="s">
        <v>17</v>
      </c>
      <c r="C26" t="s">
        <v>190</v>
      </c>
      <c r="F26" s="4">
        <v>46232</v>
      </c>
      <c r="G26" s="4"/>
      <c r="I26">
        <v>25</v>
      </c>
      <c r="K26" s="4">
        <v>46186</v>
      </c>
      <c r="M26" t="s">
        <v>27</v>
      </c>
    </row>
    <row r="27" spans="1:13" ht="21.75" customHeight="1" x14ac:dyDescent="0.3">
      <c r="A27" t="s">
        <v>16</v>
      </c>
      <c r="B27" t="s">
        <v>17</v>
      </c>
      <c r="C27" t="s">
        <v>193</v>
      </c>
      <c r="F27" s="4">
        <v>46366</v>
      </c>
      <c r="G27" s="4"/>
      <c r="I27">
        <v>26</v>
      </c>
      <c r="K27" s="4">
        <v>46360</v>
      </c>
      <c r="M27" t="s">
        <v>27</v>
      </c>
    </row>
    <row r="28" spans="1:13" ht="21.75" customHeight="1" x14ac:dyDescent="0.3">
      <c r="A28" t="s">
        <v>12</v>
      </c>
      <c r="B28" t="s">
        <v>13</v>
      </c>
      <c r="C28" t="s">
        <v>194</v>
      </c>
      <c r="F28" s="4">
        <v>45802</v>
      </c>
      <c r="G28" s="4">
        <v>45804</v>
      </c>
      <c r="H28">
        <v>1</v>
      </c>
      <c r="I28">
        <v>27</v>
      </c>
      <c r="K28" s="4">
        <v>45802</v>
      </c>
      <c r="L28" t="str">
        <f>IF(AND([1]!Tabela4[[#This Row],[Data Real]]="",[1]!Tabela4[[#This Row],[Data Planejada]]&lt;&gt;"")=TRUE,"🚩","✅")</f>
        <v>✅</v>
      </c>
      <c r="M28" t="s">
        <v>27</v>
      </c>
    </row>
    <row r="29" spans="1:13" ht="21.75" customHeight="1" x14ac:dyDescent="0.3">
      <c r="A29" t="s">
        <v>12</v>
      </c>
      <c r="B29" t="s">
        <v>13</v>
      </c>
      <c r="C29" t="s">
        <v>201</v>
      </c>
      <c r="F29" s="4">
        <v>45868</v>
      </c>
      <c r="G29" s="4">
        <v>45868</v>
      </c>
      <c r="H29">
        <v>1</v>
      </c>
      <c r="I29">
        <v>28</v>
      </c>
      <c r="K29" s="4">
        <v>45868</v>
      </c>
      <c r="L29" t="str">
        <f>IF(AND([1]!Tabela4[[#This Row],[Data Real]]="",[1]!Tabela4[[#This Row],[Data Planejada]]&lt;&gt;"")=TRUE,"🚩","✅")</f>
        <v>✅</v>
      </c>
      <c r="M29" t="s">
        <v>27</v>
      </c>
    </row>
    <row r="30" spans="1:13" ht="21.75" customHeight="1" x14ac:dyDescent="0.3">
      <c r="A30" t="s">
        <v>12</v>
      </c>
      <c r="B30" t="s">
        <v>13</v>
      </c>
      <c r="C30" t="s">
        <v>183</v>
      </c>
      <c r="F30" s="4">
        <v>46059</v>
      </c>
      <c r="G30" s="4">
        <v>46059</v>
      </c>
      <c r="H30">
        <v>1</v>
      </c>
      <c r="I30">
        <v>29</v>
      </c>
      <c r="K30" s="4">
        <v>45960</v>
      </c>
      <c r="M30" t="s">
        <v>27</v>
      </c>
    </row>
    <row r="31" spans="1:13" ht="21.75" customHeight="1" x14ac:dyDescent="0.3">
      <c r="A31" t="s">
        <v>12</v>
      </c>
      <c r="B31" t="s">
        <v>13</v>
      </c>
      <c r="C31" t="s">
        <v>202</v>
      </c>
      <c r="F31" s="4">
        <v>45965</v>
      </c>
      <c r="G31" s="4">
        <v>45965</v>
      </c>
      <c r="H31">
        <v>1</v>
      </c>
      <c r="I31">
        <v>30</v>
      </c>
      <c r="K31" s="4">
        <v>45988</v>
      </c>
      <c r="M31" t="s">
        <v>27</v>
      </c>
    </row>
    <row r="32" spans="1:13" ht="21.75" customHeight="1" x14ac:dyDescent="0.3">
      <c r="A32" t="s">
        <v>12</v>
      </c>
      <c r="B32" t="s">
        <v>13</v>
      </c>
      <c r="C32" t="s">
        <v>197</v>
      </c>
      <c r="F32" s="4">
        <v>46112</v>
      </c>
      <c r="G32" s="4">
        <v>46112</v>
      </c>
      <c r="H32">
        <v>1</v>
      </c>
      <c r="I32">
        <v>31</v>
      </c>
      <c r="K32" s="4">
        <v>46111</v>
      </c>
      <c r="M32" t="s">
        <v>27</v>
      </c>
    </row>
    <row r="33" spans="1:13" ht="21.75" customHeight="1" x14ac:dyDescent="0.3">
      <c r="A33" t="s">
        <v>12</v>
      </c>
      <c r="B33" t="s">
        <v>13</v>
      </c>
      <c r="C33" t="s">
        <v>186</v>
      </c>
      <c r="F33" s="4">
        <v>46224</v>
      </c>
      <c r="G33" s="4"/>
      <c r="I33">
        <v>32</v>
      </c>
      <c r="K33" s="4">
        <v>46234</v>
      </c>
      <c r="M33" t="s">
        <v>27</v>
      </c>
    </row>
    <row r="34" spans="1:13" ht="21.75" customHeight="1" x14ac:dyDescent="0.3">
      <c r="A34" t="s">
        <v>12</v>
      </c>
      <c r="B34" t="s">
        <v>13</v>
      </c>
      <c r="C34" t="s">
        <v>203</v>
      </c>
      <c r="F34" s="4">
        <v>46172</v>
      </c>
      <c r="G34" s="4"/>
      <c r="I34">
        <v>33</v>
      </c>
      <c r="K34" s="4">
        <v>46172</v>
      </c>
      <c r="M34" t="s">
        <v>27</v>
      </c>
    </row>
    <row r="35" spans="1:13" ht="21.75" customHeight="1" x14ac:dyDescent="0.3">
      <c r="A35" t="s">
        <v>12</v>
      </c>
      <c r="B35" t="s">
        <v>13</v>
      </c>
      <c r="C35" t="s">
        <v>204</v>
      </c>
      <c r="F35" s="4">
        <v>46280</v>
      </c>
      <c r="G35" s="4"/>
      <c r="I35">
        <v>34</v>
      </c>
      <c r="K35" s="4">
        <v>46290</v>
      </c>
      <c r="M35" t="s">
        <v>27</v>
      </c>
    </row>
    <row r="36" spans="1:13" ht="21.75" customHeight="1" x14ac:dyDescent="0.3">
      <c r="A36" t="s">
        <v>12</v>
      </c>
      <c r="B36" t="s">
        <v>13</v>
      </c>
      <c r="C36" t="s">
        <v>193</v>
      </c>
      <c r="F36" s="4">
        <v>46297</v>
      </c>
      <c r="G36" s="4"/>
      <c r="I36">
        <v>35</v>
      </c>
      <c r="K36" s="4">
        <v>46297</v>
      </c>
      <c r="M36" t="s">
        <v>27</v>
      </c>
    </row>
    <row r="37" spans="1:13" ht="21.75" customHeight="1" x14ac:dyDescent="0.3">
      <c r="A37" t="s">
        <v>14</v>
      </c>
      <c r="B37" t="s">
        <v>15</v>
      </c>
      <c r="C37" t="s">
        <v>194</v>
      </c>
      <c r="F37" s="4">
        <v>45802</v>
      </c>
      <c r="G37" s="4">
        <v>45804</v>
      </c>
      <c r="H37">
        <v>1</v>
      </c>
      <c r="I37">
        <v>36</v>
      </c>
      <c r="K37" s="4">
        <v>45802</v>
      </c>
      <c r="L37" t="str">
        <f>IF(AND([1]!Tabela4[[#This Row],[Data Real]]="",[1]!Tabela4[[#This Row],[Data Planejada]]&lt;&gt;"")=TRUE,"🚩","✅")</f>
        <v>✅</v>
      </c>
      <c r="M37" t="s">
        <v>27</v>
      </c>
    </row>
    <row r="38" spans="1:13" ht="21.75" customHeight="1" x14ac:dyDescent="0.3">
      <c r="A38" t="s">
        <v>14</v>
      </c>
      <c r="B38" t="s">
        <v>15</v>
      </c>
      <c r="C38" t="s">
        <v>205</v>
      </c>
      <c r="F38" s="4">
        <v>45874</v>
      </c>
      <c r="G38" s="4">
        <v>45869</v>
      </c>
      <c r="H38">
        <v>1</v>
      </c>
      <c r="I38">
        <v>37</v>
      </c>
      <c r="K38" s="4">
        <v>45874</v>
      </c>
      <c r="L38" t="str">
        <f>IF(AND([1]!Tabela4[[#This Row],[Data Real]]="",[1]!Tabela4[[#This Row],[Data Planejada]]&lt;&gt;"")=TRUE,"🚩","✅")</f>
        <v>✅</v>
      </c>
      <c r="M38" t="s">
        <v>27</v>
      </c>
    </row>
    <row r="39" spans="1:13" ht="21.75" customHeight="1" x14ac:dyDescent="0.3">
      <c r="A39" t="s">
        <v>14</v>
      </c>
      <c r="B39" t="s">
        <v>15</v>
      </c>
      <c r="C39" t="s">
        <v>206</v>
      </c>
      <c r="F39" s="4">
        <v>46006</v>
      </c>
      <c r="G39" s="4">
        <v>46006</v>
      </c>
      <c r="H39">
        <v>1</v>
      </c>
      <c r="I39">
        <v>38</v>
      </c>
      <c r="K39" s="4">
        <v>45960</v>
      </c>
      <c r="M39" t="s">
        <v>27</v>
      </c>
    </row>
    <row r="40" spans="1:13" ht="21.75" customHeight="1" x14ac:dyDescent="0.3">
      <c r="A40" t="s">
        <v>14</v>
      </c>
      <c r="B40" t="s">
        <v>15</v>
      </c>
      <c r="C40" t="s">
        <v>207</v>
      </c>
      <c r="F40" s="4">
        <v>46245</v>
      </c>
      <c r="G40" s="4"/>
      <c r="I40">
        <v>39</v>
      </c>
      <c r="K40" s="4">
        <v>46245</v>
      </c>
      <c r="M40" t="s">
        <v>27</v>
      </c>
    </row>
    <row r="41" spans="1:13" ht="21.6" customHeight="1" x14ac:dyDescent="0.3">
      <c r="A41" t="s">
        <v>14</v>
      </c>
      <c r="B41" t="s">
        <v>15</v>
      </c>
      <c r="C41" t="s">
        <v>208</v>
      </c>
      <c r="F41" s="4">
        <v>46280</v>
      </c>
      <c r="G41" s="4"/>
      <c r="I41">
        <v>40</v>
      </c>
      <c r="K41" s="4">
        <v>46290</v>
      </c>
      <c r="M41" t="s">
        <v>27</v>
      </c>
    </row>
    <row r="42" spans="1:13" ht="21.75" customHeight="1" x14ac:dyDescent="0.3">
      <c r="A42" t="s">
        <v>14</v>
      </c>
      <c r="B42" t="s">
        <v>15</v>
      </c>
      <c r="C42" t="s">
        <v>193</v>
      </c>
      <c r="F42" s="4">
        <v>46307</v>
      </c>
      <c r="G42" s="4"/>
      <c r="I42">
        <v>41</v>
      </c>
      <c r="K42" s="4">
        <v>46307</v>
      </c>
      <c r="M42" t="s">
        <v>27</v>
      </c>
    </row>
    <row r="43" spans="1:13" ht="21.75" customHeight="1" x14ac:dyDescent="0.3">
      <c r="A43" t="s">
        <v>18</v>
      </c>
      <c r="B43" t="s">
        <v>19</v>
      </c>
      <c r="C43" t="s">
        <v>209</v>
      </c>
      <c r="F43" s="4">
        <v>45894</v>
      </c>
      <c r="G43" s="4">
        <v>45894</v>
      </c>
      <c r="H43">
        <v>1</v>
      </c>
      <c r="I43">
        <v>42</v>
      </c>
      <c r="K43" s="4">
        <v>45894</v>
      </c>
      <c r="M43" t="s">
        <v>27</v>
      </c>
    </row>
    <row r="44" spans="1:13" ht="21.75" customHeight="1" x14ac:dyDescent="0.3">
      <c r="A44" t="s">
        <v>18</v>
      </c>
      <c r="B44" t="s">
        <v>19</v>
      </c>
      <c r="C44" t="s">
        <v>210</v>
      </c>
      <c r="F44" s="4">
        <v>45953</v>
      </c>
      <c r="G44" s="4">
        <v>45953</v>
      </c>
      <c r="H44">
        <v>1</v>
      </c>
      <c r="I44">
        <v>43</v>
      </c>
      <c r="K44" s="4">
        <v>45937</v>
      </c>
      <c r="L44" t="str">
        <f>IF(AND([1]!Tabela4[[#This Row],[Data Real]]="",[1]!Tabela4[[#This Row],[Data Planejada]]&lt;&gt;"")=TRUE,"🚩","✅")</f>
        <v>✅</v>
      </c>
      <c r="M44" t="s">
        <v>27</v>
      </c>
    </row>
    <row r="45" spans="1:13" ht="21.75" customHeight="1" x14ac:dyDescent="0.3">
      <c r="A45" t="s">
        <v>18</v>
      </c>
      <c r="B45" t="s">
        <v>19</v>
      </c>
      <c r="C45" t="s">
        <v>211</v>
      </c>
      <c r="F45" s="4">
        <v>46049</v>
      </c>
      <c r="G45" s="4"/>
      <c r="I45">
        <v>44</v>
      </c>
      <c r="K45" s="4">
        <v>46140</v>
      </c>
      <c r="M45" t="s">
        <v>27</v>
      </c>
    </row>
    <row r="46" spans="1:13" ht="21.75" customHeight="1" x14ac:dyDescent="0.3">
      <c r="A46" t="s">
        <v>18</v>
      </c>
      <c r="B46" t="s">
        <v>19</v>
      </c>
      <c r="C46" t="s">
        <v>212</v>
      </c>
      <c r="F46" s="4">
        <v>46198</v>
      </c>
      <c r="G46" s="4"/>
      <c r="I46">
        <v>45</v>
      </c>
      <c r="K46" s="4">
        <v>46177</v>
      </c>
      <c r="M46" t="s">
        <v>27</v>
      </c>
    </row>
    <row r="47" spans="1:13" ht="21.75" customHeight="1" x14ac:dyDescent="0.3">
      <c r="A47" t="s">
        <v>18</v>
      </c>
      <c r="B47" t="s">
        <v>19</v>
      </c>
      <c r="C47" t="s">
        <v>204</v>
      </c>
      <c r="F47" s="4">
        <v>46280</v>
      </c>
      <c r="G47" s="4"/>
      <c r="I47">
        <v>46</v>
      </c>
      <c r="K47" s="4">
        <v>46290</v>
      </c>
      <c r="M47" t="s">
        <v>27</v>
      </c>
    </row>
    <row r="48" spans="1:13" ht="21.75" customHeight="1" x14ac:dyDescent="0.3">
      <c r="K48" s="4"/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A978-0808-D472-3968-3D181BB36518}">
  <dimension ref="A1:E37"/>
  <sheetViews>
    <sheetView workbookViewId="0">
      <pane ySplit="1" topLeftCell="A2" activePane="bottomLeft" state="frozen"/>
      <selection pane="bottomLeft" activeCell="C32" sqref="C32"/>
    </sheetView>
  </sheetViews>
  <sheetFormatPr defaultColWidth="9.109375" defaultRowHeight="21.75" customHeight="1" x14ac:dyDescent="0.3"/>
  <cols>
    <col min="1" max="1" width="10.88671875" customWidth="1"/>
    <col min="2" max="2" width="26.44140625" customWidth="1"/>
    <col min="3" max="3" width="75" customWidth="1"/>
    <col min="4" max="4" width="8.44140625" customWidth="1"/>
    <col min="5" max="5" width="10" customWidth="1"/>
  </cols>
  <sheetData>
    <row r="1" spans="1:5" ht="21.75" customHeight="1" x14ac:dyDescent="0.3">
      <c r="A1" t="s">
        <v>6</v>
      </c>
      <c r="B1" t="s">
        <v>11</v>
      </c>
      <c r="C1" t="s">
        <v>107</v>
      </c>
      <c r="D1" t="s">
        <v>22</v>
      </c>
      <c r="E1" t="s">
        <v>24</v>
      </c>
    </row>
    <row r="2" spans="1:5" ht="21.75" customHeight="1" x14ac:dyDescent="0.3">
      <c r="A2" t="s">
        <v>10</v>
      </c>
      <c r="B2" t="s">
        <v>9</v>
      </c>
      <c r="C2" t="s">
        <v>129</v>
      </c>
      <c r="D2">
        <v>1</v>
      </c>
      <c r="E2" t="s">
        <v>27</v>
      </c>
    </row>
    <row r="3" spans="1:5" ht="21.75" customHeight="1" x14ac:dyDescent="0.3">
      <c r="A3" t="s">
        <v>10</v>
      </c>
      <c r="B3" t="s">
        <v>9</v>
      </c>
      <c r="C3" t="s">
        <v>108</v>
      </c>
      <c r="D3">
        <v>2</v>
      </c>
      <c r="E3" t="s">
        <v>27</v>
      </c>
    </row>
    <row r="4" spans="1:5" ht="21.75" customHeight="1" x14ac:dyDescent="0.3">
      <c r="A4" t="s">
        <v>10</v>
      </c>
      <c r="B4" t="s">
        <v>9</v>
      </c>
      <c r="C4" t="s">
        <v>128</v>
      </c>
      <c r="D4">
        <v>3</v>
      </c>
      <c r="E4" t="s">
        <v>27</v>
      </c>
    </row>
    <row r="5" spans="1:5" ht="21.75" customHeight="1" x14ac:dyDescent="0.3">
      <c r="A5" t="s">
        <v>10</v>
      </c>
      <c r="B5" t="s">
        <v>9</v>
      </c>
      <c r="C5" t="s">
        <v>132</v>
      </c>
      <c r="D5">
        <v>4</v>
      </c>
      <c r="E5" t="s">
        <v>27</v>
      </c>
    </row>
    <row r="6" spans="1:5" ht="21.75" customHeight="1" x14ac:dyDescent="0.3">
      <c r="A6" t="s">
        <v>10</v>
      </c>
      <c r="B6" t="s">
        <v>9</v>
      </c>
      <c r="C6" t="s">
        <v>147</v>
      </c>
      <c r="D6">
        <v>5</v>
      </c>
      <c r="E6" t="s">
        <v>27</v>
      </c>
    </row>
    <row r="7" spans="1:5" ht="21.75" customHeight="1" x14ac:dyDescent="0.3">
      <c r="A7" t="s">
        <v>10</v>
      </c>
      <c r="B7" t="s">
        <v>9</v>
      </c>
      <c r="C7" t="s">
        <v>109</v>
      </c>
      <c r="D7">
        <v>6</v>
      </c>
      <c r="E7" t="s">
        <v>27</v>
      </c>
    </row>
    <row r="8" spans="1:5" ht="21.75" customHeight="1" x14ac:dyDescent="0.3">
      <c r="A8" t="s">
        <v>10</v>
      </c>
      <c r="B8" t="s">
        <v>9</v>
      </c>
      <c r="C8" t="s">
        <v>145</v>
      </c>
      <c r="D8">
        <v>7</v>
      </c>
      <c r="E8" t="s">
        <v>27</v>
      </c>
    </row>
    <row r="9" spans="1:5" ht="21.75" customHeight="1" x14ac:dyDescent="0.3">
      <c r="A9" t="s">
        <v>10</v>
      </c>
      <c r="B9" t="s">
        <v>9</v>
      </c>
      <c r="C9" t="s">
        <v>110</v>
      </c>
      <c r="D9">
        <v>8</v>
      </c>
      <c r="E9" t="s">
        <v>27</v>
      </c>
    </row>
    <row r="10" spans="1:5" ht="21.75" customHeight="1" x14ac:dyDescent="0.3">
      <c r="A10" t="s">
        <v>10</v>
      </c>
      <c r="B10" t="s">
        <v>9</v>
      </c>
      <c r="C10" t="s">
        <v>133</v>
      </c>
      <c r="D10">
        <v>9</v>
      </c>
      <c r="E10" t="s">
        <v>27</v>
      </c>
    </row>
    <row r="11" spans="1:5" ht="21.75" customHeight="1" x14ac:dyDescent="0.3">
      <c r="A11" t="s">
        <v>10</v>
      </c>
      <c r="B11" t="s">
        <v>9</v>
      </c>
      <c r="C11" t="s">
        <v>139</v>
      </c>
      <c r="D11">
        <v>10</v>
      </c>
      <c r="E11" t="s">
        <v>27</v>
      </c>
    </row>
    <row r="12" spans="1:5" ht="21.75" customHeight="1" x14ac:dyDescent="0.3">
      <c r="A12" t="s">
        <v>10</v>
      </c>
      <c r="B12" t="s">
        <v>9</v>
      </c>
      <c r="C12" t="s">
        <v>134</v>
      </c>
      <c r="D12">
        <v>11</v>
      </c>
      <c r="E12" t="s">
        <v>27</v>
      </c>
    </row>
    <row r="13" spans="1:5" ht="21.75" customHeight="1" x14ac:dyDescent="0.3">
      <c r="A13" t="s">
        <v>16</v>
      </c>
      <c r="B13" t="s">
        <v>17</v>
      </c>
      <c r="C13" t="s">
        <v>146</v>
      </c>
      <c r="D13">
        <v>12</v>
      </c>
      <c r="E13" t="s">
        <v>27</v>
      </c>
    </row>
    <row r="14" spans="1:5" ht="21.75" customHeight="1" x14ac:dyDescent="0.3">
      <c r="A14" t="s">
        <v>16</v>
      </c>
      <c r="B14" t="s">
        <v>17</v>
      </c>
      <c r="C14" t="s">
        <v>111</v>
      </c>
      <c r="D14">
        <v>13</v>
      </c>
      <c r="E14" t="s">
        <v>27</v>
      </c>
    </row>
    <row r="15" spans="1:5" ht="21.75" customHeight="1" x14ac:dyDescent="0.3">
      <c r="A15" t="s">
        <v>16</v>
      </c>
      <c r="B15" t="s">
        <v>17</v>
      </c>
      <c r="C15" t="s">
        <v>143</v>
      </c>
      <c r="D15">
        <v>14</v>
      </c>
      <c r="E15" t="s">
        <v>27</v>
      </c>
    </row>
    <row r="16" spans="1:5" ht="21.75" customHeight="1" x14ac:dyDescent="0.3">
      <c r="A16" t="s">
        <v>16</v>
      </c>
      <c r="B16" t="s">
        <v>17</v>
      </c>
      <c r="C16" t="s">
        <v>112</v>
      </c>
      <c r="D16">
        <v>15</v>
      </c>
      <c r="E16" t="s">
        <v>27</v>
      </c>
    </row>
    <row r="17" spans="1:5" ht="21.75" customHeight="1" x14ac:dyDescent="0.3">
      <c r="A17" t="s">
        <v>16</v>
      </c>
      <c r="B17" t="s">
        <v>17</v>
      </c>
      <c r="C17" t="s">
        <v>144</v>
      </c>
      <c r="D17">
        <v>16</v>
      </c>
      <c r="E17" t="s">
        <v>27</v>
      </c>
    </row>
    <row r="18" spans="1:5" ht="21.75" customHeight="1" x14ac:dyDescent="0.3">
      <c r="A18" t="s">
        <v>16</v>
      </c>
      <c r="B18" t="s">
        <v>17</v>
      </c>
      <c r="C18" t="s">
        <v>113</v>
      </c>
      <c r="D18">
        <v>17</v>
      </c>
      <c r="E18" t="s">
        <v>27</v>
      </c>
    </row>
    <row r="19" spans="1:5" ht="21.75" customHeight="1" x14ac:dyDescent="0.3">
      <c r="A19" t="s">
        <v>16</v>
      </c>
      <c r="B19" t="s">
        <v>17</v>
      </c>
      <c r="C19" t="s">
        <v>114</v>
      </c>
      <c r="D19">
        <v>18</v>
      </c>
      <c r="E19" t="s">
        <v>27</v>
      </c>
    </row>
    <row r="20" spans="1:5" ht="21.75" customHeight="1" x14ac:dyDescent="0.3">
      <c r="A20" t="s">
        <v>16</v>
      </c>
      <c r="B20" t="s">
        <v>17</v>
      </c>
      <c r="C20" t="s">
        <v>140</v>
      </c>
      <c r="D20">
        <v>19</v>
      </c>
      <c r="E20" t="s">
        <v>27</v>
      </c>
    </row>
    <row r="21" spans="1:5" ht="21.75" customHeight="1" x14ac:dyDescent="0.3">
      <c r="A21" t="s">
        <v>16</v>
      </c>
      <c r="B21" t="s">
        <v>17</v>
      </c>
      <c r="C21" t="s">
        <v>115</v>
      </c>
      <c r="D21">
        <v>20</v>
      </c>
      <c r="E21" t="s">
        <v>27</v>
      </c>
    </row>
    <row r="22" spans="1:5" ht="21.75" customHeight="1" x14ac:dyDescent="0.3">
      <c r="A22" t="s">
        <v>16</v>
      </c>
      <c r="B22" t="s">
        <v>17</v>
      </c>
      <c r="C22" t="s">
        <v>116</v>
      </c>
      <c r="D22">
        <v>21</v>
      </c>
      <c r="E22" t="s">
        <v>27</v>
      </c>
    </row>
    <row r="23" spans="1:5" ht="21.75" customHeight="1" x14ac:dyDescent="0.3">
      <c r="A23" t="s">
        <v>14</v>
      </c>
      <c r="B23" t="s">
        <v>15</v>
      </c>
      <c r="C23" t="s">
        <v>141</v>
      </c>
      <c r="D23">
        <v>22</v>
      </c>
      <c r="E23" t="s">
        <v>27</v>
      </c>
    </row>
    <row r="24" spans="1:5" ht="21.75" customHeight="1" x14ac:dyDescent="0.3">
      <c r="A24" t="s">
        <v>12</v>
      </c>
      <c r="B24" t="s">
        <v>13</v>
      </c>
      <c r="C24" t="s">
        <v>178</v>
      </c>
      <c r="D24">
        <v>23</v>
      </c>
      <c r="E24" t="s">
        <v>27</v>
      </c>
    </row>
    <row r="25" spans="1:5" ht="21.75" customHeight="1" x14ac:dyDescent="0.3">
      <c r="A25" t="s">
        <v>12</v>
      </c>
      <c r="B25" t="s">
        <v>13</v>
      </c>
      <c r="C25" t="s">
        <v>179</v>
      </c>
      <c r="D25">
        <v>24</v>
      </c>
      <c r="E25" t="s">
        <v>27</v>
      </c>
    </row>
    <row r="26" spans="1:5" ht="21.75" customHeight="1" x14ac:dyDescent="0.3">
      <c r="A26" t="s">
        <v>12</v>
      </c>
      <c r="B26" t="s">
        <v>13</v>
      </c>
      <c r="C26" t="s">
        <v>136</v>
      </c>
      <c r="D26">
        <v>25</v>
      </c>
      <c r="E26" t="s">
        <v>27</v>
      </c>
    </row>
    <row r="27" spans="1:5" ht="21.75" customHeight="1" x14ac:dyDescent="0.3">
      <c r="A27" t="s">
        <v>12</v>
      </c>
      <c r="B27" t="s">
        <v>13</v>
      </c>
      <c r="C27" t="s">
        <v>137</v>
      </c>
      <c r="D27">
        <v>26</v>
      </c>
      <c r="E27" t="s">
        <v>27</v>
      </c>
    </row>
    <row r="28" spans="1:5" ht="21.75" customHeight="1" x14ac:dyDescent="0.3">
      <c r="A28" t="s">
        <v>12</v>
      </c>
      <c r="B28" t="s">
        <v>13</v>
      </c>
      <c r="C28" t="s">
        <v>138</v>
      </c>
      <c r="D28">
        <v>27</v>
      </c>
      <c r="E28" t="s">
        <v>27</v>
      </c>
    </row>
    <row r="29" spans="1:5" ht="21.75" customHeight="1" x14ac:dyDescent="0.3">
      <c r="A29" t="s">
        <v>12</v>
      </c>
      <c r="B29" t="s">
        <v>13</v>
      </c>
      <c r="C29" t="s">
        <v>117</v>
      </c>
      <c r="D29">
        <v>28</v>
      </c>
      <c r="E29" t="s">
        <v>27</v>
      </c>
    </row>
    <row r="30" spans="1:5" ht="21.75" customHeight="1" x14ac:dyDescent="0.3">
      <c r="A30" t="s">
        <v>12</v>
      </c>
      <c r="B30" t="s">
        <v>13</v>
      </c>
      <c r="C30" t="s">
        <v>142</v>
      </c>
      <c r="D30">
        <v>29</v>
      </c>
      <c r="E30" t="s">
        <v>27</v>
      </c>
    </row>
    <row r="31" spans="1:5" ht="21.75" customHeight="1" x14ac:dyDescent="0.3">
      <c r="A31" t="s">
        <v>12</v>
      </c>
      <c r="B31" t="s">
        <v>13</v>
      </c>
      <c r="C31" t="s">
        <v>140</v>
      </c>
      <c r="D31">
        <v>30</v>
      </c>
      <c r="E31" t="s">
        <v>27</v>
      </c>
    </row>
    <row r="32" spans="1:5" ht="21.75" customHeight="1" x14ac:dyDescent="0.3">
      <c r="A32" t="s">
        <v>12</v>
      </c>
      <c r="B32" t="s">
        <v>13</v>
      </c>
      <c r="C32" t="s">
        <v>130</v>
      </c>
      <c r="D32">
        <v>31</v>
      </c>
      <c r="E32" t="s">
        <v>27</v>
      </c>
    </row>
    <row r="33" spans="1:5" ht="21.75" customHeight="1" x14ac:dyDescent="0.3">
      <c r="A33" t="s">
        <v>12</v>
      </c>
      <c r="B33" t="s">
        <v>13</v>
      </c>
      <c r="C33" t="s">
        <v>135</v>
      </c>
      <c r="D33">
        <v>32</v>
      </c>
      <c r="E33" t="s">
        <v>27</v>
      </c>
    </row>
    <row r="34" spans="1:5" ht="21.75" customHeight="1" x14ac:dyDescent="0.3">
      <c r="A34" t="s">
        <v>12</v>
      </c>
      <c r="B34" t="s">
        <v>13</v>
      </c>
      <c r="C34" t="s">
        <v>118</v>
      </c>
      <c r="D34">
        <v>33</v>
      </c>
      <c r="E34" t="s">
        <v>27</v>
      </c>
    </row>
    <row r="35" spans="1:5" ht="21.75" customHeight="1" x14ac:dyDescent="0.3">
      <c r="A35" t="s">
        <v>12</v>
      </c>
      <c r="B35" t="s">
        <v>13</v>
      </c>
      <c r="C35" t="s">
        <v>119</v>
      </c>
      <c r="D35">
        <v>34</v>
      </c>
      <c r="E35" t="s">
        <v>27</v>
      </c>
    </row>
    <row r="36" spans="1:5" ht="21.75" customHeight="1" x14ac:dyDescent="0.3">
      <c r="D36">
        <v>35</v>
      </c>
    </row>
    <row r="37" spans="1:5" ht="21.75" customHeight="1" x14ac:dyDescent="0.3">
      <c r="A37" t="s">
        <v>10</v>
      </c>
      <c r="B37" t="s">
        <v>9</v>
      </c>
      <c r="C37" t="s">
        <v>131</v>
      </c>
      <c r="D37">
        <v>36</v>
      </c>
      <c r="E37" t="s">
        <v>35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8748-38A8-6336-93DD-66C60193A0C8}">
  <dimension ref="A1:E30"/>
  <sheetViews>
    <sheetView workbookViewId="0">
      <pane ySplit="1" topLeftCell="A11" activePane="bottomLeft" state="frozen"/>
      <selection pane="bottomLeft" activeCell="E22" sqref="E22"/>
    </sheetView>
  </sheetViews>
  <sheetFormatPr defaultColWidth="9.109375" defaultRowHeight="15" customHeight="1" x14ac:dyDescent="0.3"/>
  <cols>
    <col min="1" max="1" width="10.88671875" customWidth="1"/>
    <col min="2" max="2" width="26.33203125" bestFit="1" customWidth="1"/>
    <col min="3" max="3" width="37.88671875" bestFit="1" customWidth="1"/>
    <col min="5" max="5" width="10" customWidth="1"/>
  </cols>
  <sheetData>
    <row r="1" spans="1:5" ht="15" customHeight="1" x14ac:dyDescent="0.3">
      <c r="A1" t="s">
        <v>6</v>
      </c>
      <c r="B1" t="s">
        <v>11</v>
      </c>
      <c r="C1" t="s">
        <v>148</v>
      </c>
      <c r="D1" t="s">
        <v>22</v>
      </c>
      <c r="E1" t="s">
        <v>24</v>
      </c>
    </row>
    <row r="2" spans="1:5" ht="15" customHeight="1" x14ac:dyDescent="0.3">
      <c r="A2" t="s">
        <v>10</v>
      </c>
      <c r="B2" t="s">
        <v>9</v>
      </c>
      <c r="C2" t="s">
        <v>149</v>
      </c>
      <c r="D2">
        <v>1</v>
      </c>
      <c r="E2" t="s">
        <v>27</v>
      </c>
    </row>
    <row r="3" spans="1:5" ht="15" customHeight="1" x14ac:dyDescent="0.3">
      <c r="A3" t="s">
        <v>10</v>
      </c>
      <c r="B3" t="s">
        <v>9</v>
      </c>
      <c r="C3" t="s">
        <v>150</v>
      </c>
      <c r="D3">
        <v>2</v>
      </c>
      <c r="E3" t="s">
        <v>27</v>
      </c>
    </row>
    <row r="4" spans="1:5" ht="15" customHeight="1" x14ac:dyDescent="0.3">
      <c r="A4" t="s">
        <v>10</v>
      </c>
      <c r="B4" t="s">
        <v>9</v>
      </c>
      <c r="C4" t="s">
        <v>151</v>
      </c>
      <c r="D4">
        <v>3</v>
      </c>
      <c r="E4" t="s">
        <v>27</v>
      </c>
    </row>
    <row r="5" spans="1:5" ht="15" customHeight="1" x14ac:dyDescent="0.3">
      <c r="A5" t="s">
        <v>10</v>
      </c>
      <c r="B5" t="s">
        <v>9</v>
      </c>
      <c r="C5" t="s">
        <v>152</v>
      </c>
      <c r="D5">
        <v>4</v>
      </c>
      <c r="E5" t="s">
        <v>27</v>
      </c>
    </row>
    <row r="6" spans="1:5" ht="15" customHeight="1" x14ac:dyDescent="0.3">
      <c r="A6" t="s">
        <v>10</v>
      </c>
      <c r="B6" t="s">
        <v>9</v>
      </c>
      <c r="C6" t="s">
        <v>153</v>
      </c>
      <c r="D6">
        <v>5</v>
      </c>
      <c r="E6" t="s">
        <v>27</v>
      </c>
    </row>
    <row r="7" spans="1:5" ht="15" customHeight="1" x14ac:dyDescent="0.3">
      <c r="A7" t="s">
        <v>10</v>
      </c>
      <c r="B7" t="s">
        <v>9</v>
      </c>
      <c r="C7" t="s">
        <v>154</v>
      </c>
      <c r="D7">
        <v>6</v>
      </c>
      <c r="E7" t="s">
        <v>27</v>
      </c>
    </row>
    <row r="8" spans="1:5" ht="15" customHeight="1" x14ac:dyDescent="0.3">
      <c r="A8" t="s">
        <v>10</v>
      </c>
      <c r="B8" t="s">
        <v>9</v>
      </c>
      <c r="C8" t="s">
        <v>155</v>
      </c>
      <c r="D8">
        <v>7</v>
      </c>
      <c r="E8" t="s">
        <v>27</v>
      </c>
    </row>
    <row r="9" spans="1:5" ht="15" customHeight="1" x14ac:dyDescent="0.3">
      <c r="A9" t="s">
        <v>10</v>
      </c>
      <c r="B9" t="s">
        <v>9</v>
      </c>
      <c r="C9" t="s">
        <v>156</v>
      </c>
      <c r="D9">
        <v>8</v>
      </c>
      <c r="E9" t="s">
        <v>27</v>
      </c>
    </row>
    <row r="10" spans="1:5" ht="15" customHeight="1" x14ac:dyDescent="0.3">
      <c r="A10" t="s">
        <v>10</v>
      </c>
      <c r="B10" t="s">
        <v>9</v>
      </c>
      <c r="C10" t="s">
        <v>157</v>
      </c>
      <c r="D10">
        <v>9</v>
      </c>
      <c r="E10" t="s">
        <v>27</v>
      </c>
    </row>
    <row r="11" spans="1:5" ht="15" customHeight="1" x14ac:dyDescent="0.3">
      <c r="A11" t="s">
        <v>10</v>
      </c>
      <c r="B11" t="s">
        <v>9</v>
      </c>
      <c r="C11" t="s">
        <v>158</v>
      </c>
      <c r="D11">
        <v>10</v>
      </c>
      <c r="E11" t="s">
        <v>27</v>
      </c>
    </row>
    <row r="12" spans="1:5" ht="15" customHeight="1" x14ac:dyDescent="0.3">
      <c r="A12" t="s">
        <v>16</v>
      </c>
      <c r="B12" t="s">
        <v>17</v>
      </c>
      <c r="C12" t="s">
        <v>159</v>
      </c>
      <c r="D12">
        <v>11</v>
      </c>
      <c r="E12" t="s">
        <v>27</v>
      </c>
    </row>
    <row r="13" spans="1:5" ht="15" customHeight="1" x14ac:dyDescent="0.3">
      <c r="A13" t="s">
        <v>16</v>
      </c>
      <c r="B13" t="s">
        <v>17</v>
      </c>
      <c r="C13" t="s">
        <v>160</v>
      </c>
      <c r="D13">
        <v>12</v>
      </c>
      <c r="E13" t="s">
        <v>27</v>
      </c>
    </row>
    <row r="14" spans="1:5" ht="15" customHeight="1" x14ac:dyDescent="0.3">
      <c r="A14" t="s">
        <v>16</v>
      </c>
      <c r="B14" t="s">
        <v>17</v>
      </c>
      <c r="C14" t="s">
        <v>161</v>
      </c>
      <c r="D14">
        <v>13</v>
      </c>
      <c r="E14" t="s">
        <v>27</v>
      </c>
    </row>
    <row r="15" spans="1:5" ht="15" customHeight="1" x14ac:dyDescent="0.3">
      <c r="A15" t="s">
        <v>16</v>
      </c>
      <c r="B15" t="s">
        <v>17</v>
      </c>
      <c r="C15" t="s">
        <v>162</v>
      </c>
      <c r="D15">
        <v>14</v>
      </c>
      <c r="E15" t="s">
        <v>27</v>
      </c>
    </row>
    <row r="16" spans="1:5" ht="15" customHeight="1" x14ac:dyDescent="0.3">
      <c r="A16" t="s">
        <v>16</v>
      </c>
      <c r="B16" t="s">
        <v>17</v>
      </c>
      <c r="C16" t="s">
        <v>163</v>
      </c>
      <c r="D16">
        <v>15</v>
      </c>
      <c r="E16" t="s">
        <v>27</v>
      </c>
    </row>
    <row r="17" spans="1:5" ht="15" customHeight="1" x14ac:dyDescent="0.3">
      <c r="A17" t="s">
        <v>16</v>
      </c>
      <c r="B17" t="s">
        <v>17</v>
      </c>
      <c r="C17" t="s">
        <v>164</v>
      </c>
      <c r="D17">
        <v>16</v>
      </c>
      <c r="E17" t="s">
        <v>27</v>
      </c>
    </row>
    <row r="18" spans="1:5" ht="15" customHeight="1" x14ac:dyDescent="0.3">
      <c r="A18" t="s">
        <v>16</v>
      </c>
      <c r="B18" t="s">
        <v>17</v>
      </c>
      <c r="C18" t="s">
        <v>165</v>
      </c>
      <c r="D18">
        <v>17</v>
      </c>
      <c r="E18" t="s">
        <v>27</v>
      </c>
    </row>
    <row r="19" spans="1:5" ht="15" customHeight="1" x14ac:dyDescent="0.3">
      <c r="A19" t="s">
        <v>16</v>
      </c>
      <c r="B19" t="s">
        <v>17</v>
      </c>
      <c r="C19" t="s">
        <v>166</v>
      </c>
      <c r="D19">
        <v>18</v>
      </c>
      <c r="E19" t="s">
        <v>27</v>
      </c>
    </row>
    <row r="20" spans="1:5" ht="15" customHeight="1" x14ac:dyDescent="0.3">
      <c r="A20" t="s">
        <v>16</v>
      </c>
      <c r="B20" t="s">
        <v>17</v>
      </c>
      <c r="C20" t="s">
        <v>167</v>
      </c>
      <c r="D20">
        <v>19</v>
      </c>
      <c r="E20" t="s">
        <v>27</v>
      </c>
    </row>
    <row r="21" spans="1:5" ht="15" customHeight="1" x14ac:dyDescent="0.3">
      <c r="A21" t="s">
        <v>14</v>
      </c>
      <c r="B21" t="s">
        <v>15</v>
      </c>
      <c r="C21" t="s">
        <v>168</v>
      </c>
      <c r="D21">
        <v>20</v>
      </c>
      <c r="E21" t="s">
        <v>27</v>
      </c>
    </row>
    <row r="22" spans="1:5" ht="15" customHeight="1" x14ac:dyDescent="0.3">
      <c r="A22" t="s">
        <v>12</v>
      </c>
      <c r="B22" t="s">
        <v>13</v>
      </c>
      <c r="C22" t="s">
        <v>169</v>
      </c>
      <c r="D22">
        <v>21</v>
      </c>
      <c r="E22" t="s">
        <v>27</v>
      </c>
    </row>
    <row r="23" spans="1:5" ht="15" customHeight="1" x14ac:dyDescent="0.3">
      <c r="A23" t="s">
        <v>12</v>
      </c>
      <c r="B23" t="s">
        <v>13</v>
      </c>
      <c r="C23" t="s">
        <v>170</v>
      </c>
      <c r="D23">
        <v>22</v>
      </c>
      <c r="E23" t="s">
        <v>27</v>
      </c>
    </row>
    <row r="24" spans="1:5" ht="15" customHeight="1" x14ac:dyDescent="0.3">
      <c r="A24" t="s">
        <v>12</v>
      </c>
      <c r="B24" t="s">
        <v>13</v>
      </c>
      <c r="C24" t="s">
        <v>171</v>
      </c>
      <c r="D24">
        <v>23</v>
      </c>
      <c r="E24" t="s">
        <v>27</v>
      </c>
    </row>
    <row r="25" spans="1:5" ht="15" customHeight="1" x14ac:dyDescent="0.3">
      <c r="A25" t="s">
        <v>12</v>
      </c>
      <c r="B25" t="s">
        <v>13</v>
      </c>
      <c r="C25" t="s">
        <v>172</v>
      </c>
      <c r="D25">
        <v>24</v>
      </c>
      <c r="E25" t="s">
        <v>27</v>
      </c>
    </row>
    <row r="26" spans="1:5" ht="15" customHeight="1" x14ac:dyDescent="0.3">
      <c r="A26" t="s">
        <v>12</v>
      </c>
      <c r="B26" t="s">
        <v>13</v>
      </c>
      <c r="C26" t="s">
        <v>173</v>
      </c>
      <c r="D26">
        <v>25</v>
      </c>
      <c r="E26" t="s">
        <v>27</v>
      </c>
    </row>
    <row r="27" spans="1:5" ht="15" customHeight="1" x14ac:dyDescent="0.3">
      <c r="A27" t="s">
        <v>12</v>
      </c>
      <c r="B27" t="s">
        <v>13</v>
      </c>
      <c r="C27" t="s">
        <v>174</v>
      </c>
      <c r="D27">
        <v>26</v>
      </c>
      <c r="E27" t="s">
        <v>27</v>
      </c>
    </row>
    <row r="28" spans="1:5" ht="15" customHeight="1" x14ac:dyDescent="0.3">
      <c r="A28" t="s">
        <v>12</v>
      </c>
      <c r="B28" t="s">
        <v>13</v>
      </c>
      <c r="C28" t="s">
        <v>175</v>
      </c>
      <c r="D28">
        <v>27</v>
      </c>
      <c r="E28" t="s">
        <v>27</v>
      </c>
    </row>
    <row r="29" spans="1:5" ht="15" customHeight="1" x14ac:dyDescent="0.3">
      <c r="A29" t="s">
        <v>12</v>
      </c>
      <c r="B29" t="s">
        <v>13</v>
      </c>
      <c r="C29" t="s">
        <v>176</v>
      </c>
      <c r="D29">
        <v>28</v>
      </c>
      <c r="E29" t="s">
        <v>27</v>
      </c>
    </row>
    <row r="30" spans="1:5" ht="15" customHeight="1" x14ac:dyDescent="0.3">
      <c r="A30" t="s">
        <v>12</v>
      </c>
      <c r="B30" t="s">
        <v>13</v>
      </c>
      <c r="C30" t="s">
        <v>177</v>
      </c>
      <c r="D30">
        <v>29</v>
      </c>
      <c r="E30" t="s">
        <v>27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2B98-8408-0A68-F054-B11CF36AB778}">
  <dimension ref="A1:E11"/>
  <sheetViews>
    <sheetView workbookViewId="0">
      <pane ySplit="1" topLeftCell="A2" activePane="bottomLeft" state="frozen"/>
      <selection pane="bottomLeft" sqref="A1:E11"/>
    </sheetView>
  </sheetViews>
  <sheetFormatPr defaultColWidth="9.109375" defaultRowHeight="15" customHeight="1" x14ac:dyDescent="0.3"/>
  <cols>
    <col min="1" max="1" width="10.88671875" customWidth="1"/>
    <col min="2" max="2" width="14.33203125" customWidth="1"/>
    <col min="3" max="3" width="84.109375" bestFit="1" customWidth="1"/>
    <col min="4" max="4" width="16.77734375" customWidth="1"/>
    <col min="5" max="5" width="10" customWidth="1"/>
  </cols>
  <sheetData>
    <row r="1" spans="1:5" ht="15" customHeight="1" x14ac:dyDescent="0.3">
      <c r="A1" t="s">
        <v>6</v>
      </c>
      <c r="B1" t="s">
        <v>11</v>
      </c>
      <c r="C1" t="s">
        <v>120</v>
      </c>
      <c r="D1" t="s">
        <v>103</v>
      </c>
      <c r="E1" t="s">
        <v>24</v>
      </c>
    </row>
    <row r="2" spans="1:5" ht="15" customHeight="1" x14ac:dyDescent="0.3">
      <c r="A2" t="s">
        <v>10</v>
      </c>
      <c r="B2" t="s">
        <v>9</v>
      </c>
      <c r="C2" t="s">
        <v>121</v>
      </c>
      <c r="D2">
        <v>1</v>
      </c>
      <c r="E2" t="s">
        <v>27</v>
      </c>
    </row>
    <row r="3" spans="1:5" ht="15" customHeight="1" x14ac:dyDescent="0.3">
      <c r="A3" t="s">
        <v>10</v>
      </c>
      <c r="B3" t="s">
        <v>9</v>
      </c>
      <c r="C3" t="s">
        <v>122</v>
      </c>
      <c r="D3">
        <v>2</v>
      </c>
      <c r="E3" t="s">
        <v>27</v>
      </c>
    </row>
    <row r="4" spans="1:5" ht="15" customHeight="1" x14ac:dyDescent="0.3">
      <c r="A4" t="s">
        <v>10</v>
      </c>
      <c r="B4" t="s">
        <v>9</v>
      </c>
      <c r="C4" t="s">
        <v>123</v>
      </c>
      <c r="D4">
        <v>3</v>
      </c>
      <c r="E4" t="s">
        <v>27</v>
      </c>
    </row>
    <row r="5" spans="1:5" ht="15" customHeight="1" x14ac:dyDescent="0.3">
      <c r="A5" t="s">
        <v>10</v>
      </c>
      <c r="B5" t="s">
        <v>9</v>
      </c>
      <c r="C5" t="s">
        <v>124</v>
      </c>
      <c r="D5">
        <v>4</v>
      </c>
      <c r="E5" t="s">
        <v>27</v>
      </c>
    </row>
    <row r="6" spans="1:5" ht="15" customHeight="1" x14ac:dyDescent="0.3">
      <c r="A6" t="s">
        <v>10</v>
      </c>
      <c r="B6" t="s">
        <v>9</v>
      </c>
      <c r="C6" t="s">
        <v>125</v>
      </c>
      <c r="D6">
        <v>5</v>
      </c>
      <c r="E6" t="s">
        <v>27</v>
      </c>
    </row>
    <row r="7" spans="1:5" ht="15" customHeight="1" x14ac:dyDescent="0.3">
      <c r="A7" t="s">
        <v>10</v>
      </c>
      <c r="B7" t="s">
        <v>9</v>
      </c>
      <c r="C7" t="s">
        <v>126</v>
      </c>
      <c r="D7">
        <v>6</v>
      </c>
      <c r="E7" t="s">
        <v>35</v>
      </c>
    </row>
    <row r="8" spans="1:5" ht="15" customHeight="1" x14ac:dyDescent="0.3">
      <c r="A8" t="s">
        <v>10</v>
      </c>
      <c r="B8" t="s">
        <v>9</v>
      </c>
      <c r="C8" t="str">
        <f>_xlfn.TRANSLATE(C3,"Pt","en")</f>
        <v>Modifications in the date of the shutdown of the Refining Unit in Oct/26 (Anticipation or postponement)</v>
      </c>
      <c r="D8">
        <v>7</v>
      </c>
      <c r="E8" t="s">
        <v>35</v>
      </c>
    </row>
    <row r="9" spans="1:5" ht="15" customHeight="1" x14ac:dyDescent="0.3">
      <c r="A9" t="s">
        <v>10</v>
      </c>
      <c r="B9" t="s">
        <v>9</v>
      </c>
      <c r="C9" t="str">
        <f>_xlfn.TRANSLATE(C4,"Pt","en")</f>
        <v>Delay in the delivery of materials for Maintenance and Operations for the Refinery Automation Project</v>
      </c>
      <c r="D9">
        <v>8</v>
      </c>
      <c r="E9" t="s">
        <v>35</v>
      </c>
    </row>
    <row r="10" spans="1:5" ht="15" customHeight="1" x14ac:dyDescent="0.3">
      <c r="A10" t="s">
        <v>10</v>
      </c>
      <c r="B10" t="s">
        <v>9</v>
      </c>
      <c r="C10" t="str">
        <f>_xlfn.TRANSLATE(C5,"Pt","en")</f>
        <v>Delay in the delivery of imported materials and equipment due to global conflicts and uncertainties</v>
      </c>
      <c r="D10">
        <v>9</v>
      </c>
      <c r="E10" t="s">
        <v>35</v>
      </c>
    </row>
    <row r="11" spans="1:5" ht="15" customHeight="1" x14ac:dyDescent="0.3">
      <c r="A11" t="s">
        <v>10</v>
      </c>
      <c r="B11" t="s">
        <v>9</v>
      </c>
      <c r="C11" t="str">
        <f>_xlfn.TRANSLATE(C6,"Pt","en")</f>
        <v>Unfavorable weather conditions</v>
      </c>
      <c r="D11">
        <v>10</v>
      </c>
      <c r="E11" t="s">
        <v>35</v>
      </c>
    </row>
  </sheetData>
  <pageMargins left="0.75" right="0.75" top="1" bottom="1" header="0.5" footer="0.5"/>
  <pageSetup orientation="portrait"/>
  <headerFooter>
    <oddHeader>&amp;L&amp;C&amp;R</oddHeader>
    <oddFooter>&amp;L_x000D_&amp;1#&amp;"Aptos"&amp;10&amp;K000000 Public Information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9be698cc-cb82-46d7-80da-928654e6af3b}" enabled="1" method="Privileged" siteId="{d50c10ce-7993-4bfb-bfd0-d4a41ccf036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Detalhe distribuição</vt:lpstr>
      <vt:lpstr>ID_Project</vt:lpstr>
      <vt:lpstr>Aderência ao Projeto</vt:lpstr>
      <vt:lpstr>Cronograma</vt:lpstr>
      <vt:lpstr>Curvas PSRs</vt:lpstr>
      <vt:lpstr>Finanças</vt:lpstr>
      <vt:lpstr>Marcos</vt:lpstr>
      <vt:lpstr>Ativ Desta semana</vt:lpstr>
      <vt:lpstr>Ativ. prox semana</vt:lpstr>
      <vt:lpstr>Prob. e Riscos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Aurelio Felicio da Silva</cp:lastModifiedBy>
  <dcterms:created xsi:type="dcterms:W3CDTF">2026-04-29T23:41:27Z</dcterms:created>
  <dcterms:modified xsi:type="dcterms:W3CDTF">2026-04-30T00:13:33Z</dcterms:modified>
</cp:coreProperties>
</file>